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13710" yWindow="615" windowWidth="17010" windowHeight="16065"/>
  </bookViews>
  <sheets>
    <sheet name="country_level_stats" sheetId="1" r:id="rId1"/>
    <sheet name="Req_countries" sheetId="4" r:id="rId2"/>
    <sheet name="top_level_stats" sheetId="2" r:id="rId3"/>
    <sheet name=".csv" sheetId="3" r:id="rId4"/>
  </sheets>
  <definedNames>
    <definedName name="_xlnm._FilterDatabase" localSheetId="0" hidden="1">country_level_stats!$A$9:$I$245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2" i="3" l="1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5" i="1" l="1"/>
  <c r="A1" i="2" l="1"/>
  <c r="G228" i="1"/>
  <c r="B169" i="1"/>
  <c r="C186" i="1"/>
  <c r="D233" i="1"/>
  <c r="F158" i="1"/>
  <c r="C91" i="1"/>
  <c r="G118" i="1"/>
  <c r="G86" i="1"/>
  <c r="D55" i="1"/>
  <c r="B219" i="1"/>
  <c r="B122" i="1"/>
  <c r="B33" i="1"/>
  <c r="B118" i="1"/>
  <c r="D211" i="1"/>
  <c r="B61" i="1"/>
  <c r="G133" i="1"/>
  <c r="G220" i="1"/>
  <c r="D156" i="1"/>
  <c r="D141" i="1"/>
  <c r="B228" i="1"/>
  <c r="E121" i="1" a="1"/>
  <c r="C130" i="1"/>
  <c r="D71" i="1"/>
  <c r="E209" i="1" a="1"/>
  <c r="C199" i="1"/>
  <c r="G18" i="1"/>
  <c r="E65" i="1" a="1"/>
  <c r="G66" i="1"/>
  <c r="B168" i="1"/>
  <c r="E149" i="1" a="1"/>
  <c r="G24" i="1"/>
  <c r="E243" i="1" a="1"/>
  <c r="C151" i="1"/>
  <c r="E187" i="1" a="1"/>
  <c r="E63" i="1" a="1"/>
  <c r="F57" i="1"/>
  <c r="C99" i="1"/>
  <c r="G209" i="1"/>
  <c r="E123" i="1" a="1"/>
  <c r="G31" i="1"/>
  <c r="B27" i="1"/>
  <c r="C146" i="1"/>
  <c r="G229" i="1"/>
  <c r="F237" i="1"/>
  <c r="C207" i="1"/>
  <c r="C210" i="1"/>
  <c r="F125" i="1"/>
  <c r="F73" i="1"/>
  <c r="B102" i="1"/>
  <c r="E164" i="1" a="1"/>
  <c r="G12" i="1"/>
  <c r="D150" i="1"/>
  <c r="C142" i="1"/>
  <c r="D147" i="1"/>
  <c r="F18" i="1"/>
  <c r="C118" i="1"/>
  <c r="G189" i="1"/>
  <c r="E230" i="1" a="1"/>
  <c r="C159" i="1"/>
  <c r="D182" i="1"/>
  <c r="E128" i="1" a="1"/>
  <c r="E15" i="1" a="1"/>
  <c r="E56" i="1" a="1"/>
  <c r="D72" i="1"/>
  <c r="B117" i="1"/>
  <c r="E150" i="1" a="1"/>
  <c r="G147" i="1"/>
  <c r="F89" i="1"/>
  <c r="F42" i="1"/>
  <c r="E38" i="1" a="1"/>
  <c r="E60" i="1" a="1"/>
  <c r="F64" i="1"/>
  <c r="G192" i="1"/>
  <c r="F185" i="1"/>
  <c r="B108" i="1"/>
  <c r="C241" i="1"/>
  <c r="B226" i="1"/>
  <c r="E46" i="1" a="1"/>
  <c r="C178" i="1"/>
  <c r="C87" i="1"/>
  <c r="B209" i="1"/>
  <c r="C50" i="1"/>
  <c r="G183" i="1"/>
  <c r="B58" i="1"/>
  <c r="C85" i="1"/>
  <c r="G213" i="1"/>
  <c r="G45" i="1"/>
  <c r="F101" i="1"/>
  <c r="D169" i="1"/>
  <c r="D114" i="1"/>
  <c r="F13" i="1"/>
  <c r="G210" i="1"/>
  <c r="F148" i="1"/>
  <c r="G39" i="1"/>
  <c r="F243" i="1"/>
  <c r="D110" i="1"/>
  <c r="C111" i="1"/>
  <c r="F235" i="1"/>
  <c r="F173" i="1"/>
  <c r="D243" i="1"/>
  <c r="B123" i="1"/>
  <c r="F193" i="1"/>
  <c r="E114" i="1" a="1"/>
  <c r="B96" i="1"/>
  <c r="G149" i="1"/>
  <c r="G105" i="1"/>
  <c r="B230" i="1"/>
  <c r="F149" i="1"/>
  <c r="E20" i="1" a="1"/>
  <c r="F181" i="1"/>
  <c r="E155" i="1" a="1"/>
  <c r="D227" i="1"/>
  <c r="E213" i="1" a="1"/>
  <c r="C163" i="1"/>
  <c r="E70" i="1" a="1"/>
  <c r="F215" i="1"/>
  <c r="F112" i="1"/>
  <c r="B183" i="1"/>
  <c r="B184" i="1"/>
  <c r="F19" i="1"/>
  <c r="D58" i="1"/>
  <c r="E151" i="1" a="1"/>
  <c r="D28" i="1"/>
  <c r="D145" i="1"/>
  <c r="E196" i="1" a="1"/>
  <c r="F129" i="1"/>
  <c r="F170" i="1"/>
  <c r="G194" i="1"/>
  <c r="E99" i="1" a="1"/>
  <c r="D90" i="1"/>
  <c r="E118" i="1" a="1"/>
  <c r="E47" i="1" a="1"/>
  <c r="B129" i="1"/>
  <c r="F49" i="1"/>
  <c r="G76" i="1"/>
  <c r="B56" i="1"/>
  <c r="D134" i="1"/>
  <c r="F85" i="1"/>
  <c r="C189" i="1"/>
  <c r="B13" i="1"/>
  <c r="G49" i="1"/>
  <c r="E31" i="1" a="1"/>
  <c r="B152" i="1"/>
  <c r="D66" i="1"/>
  <c r="G170" i="1"/>
  <c r="D10" i="1"/>
  <c r="G111" i="1"/>
  <c r="C190" i="1"/>
  <c r="F122" i="1"/>
  <c r="B236" i="1"/>
  <c r="G43" i="1"/>
  <c r="E222" i="1" a="1"/>
  <c r="G142" i="1"/>
  <c r="D100" i="1"/>
  <c r="E89" i="1" a="1"/>
  <c r="B78" i="1"/>
  <c r="E79" i="1" a="1"/>
  <c r="B60" i="1"/>
  <c r="E124" i="1" a="1"/>
  <c r="E152" i="1" a="1"/>
  <c r="E218" i="1" a="1"/>
  <c r="G15" i="1"/>
  <c r="D113" i="1"/>
  <c r="D62" i="1"/>
  <c r="G201" i="1"/>
  <c r="E52" i="1" a="1"/>
  <c r="C116" i="1"/>
  <c r="G46" i="1"/>
  <c r="C179" i="1"/>
  <c r="G32" i="1"/>
  <c r="D218" i="1"/>
  <c r="C177" i="1"/>
  <c r="E135" i="1" a="1"/>
  <c r="C181" i="1"/>
  <c r="G99" i="1"/>
  <c r="F79" i="1"/>
  <c r="C188" i="1"/>
  <c r="F166" i="1"/>
  <c r="B41" i="1"/>
  <c r="D199" i="1"/>
  <c r="B66" i="1"/>
  <c r="F183" i="1"/>
  <c r="F226" i="1"/>
  <c r="G108" i="1"/>
  <c r="G143" i="1"/>
  <c r="G115" i="1"/>
  <c r="G132" i="1"/>
  <c r="C154" i="1"/>
  <c r="C54" i="1"/>
  <c r="G28" i="1"/>
  <c r="B114" i="1"/>
  <c r="E85" i="1" a="1"/>
  <c r="B237" i="1"/>
  <c r="B12" i="1"/>
  <c r="F43" i="1"/>
  <c r="B221" i="1"/>
  <c r="E129" i="1" a="1"/>
  <c r="B115" i="1"/>
  <c r="B127" i="1"/>
  <c r="B29" i="1"/>
  <c r="B40" i="1"/>
  <c r="D207" i="1"/>
  <c r="G129" i="1"/>
  <c r="C44" i="1"/>
  <c r="B15" i="1"/>
  <c r="C21" i="1"/>
  <c r="F169" i="1"/>
  <c r="G58" i="1"/>
  <c r="F98" i="1"/>
  <c r="G114" i="1"/>
  <c r="C103" i="1"/>
  <c r="G47" i="1"/>
  <c r="E84" i="1" a="1"/>
  <c r="C225" i="1"/>
  <c r="F207" i="1"/>
  <c r="C101" i="1"/>
  <c r="D83" i="1"/>
  <c r="D149" i="1"/>
  <c r="B126" i="1"/>
  <c r="E64" i="1" a="1"/>
  <c r="C173" i="1"/>
  <c r="F67" i="1"/>
  <c r="E212" i="1" a="1"/>
  <c r="F167" i="1"/>
  <c r="C191" i="1"/>
  <c r="G65" i="1"/>
  <c r="C235" i="1"/>
  <c r="B211" i="1"/>
  <c r="D122" i="1"/>
  <c r="C96" i="1"/>
  <c r="F110" i="1"/>
  <c r="F40" i="1"/>
  <c r="C228" i="1"/>
  <c r="D219" i="1"/>
  <c r="B222" i="1"/>
  <c r="E57" i="1" a="1"/>
  <c r="D106" i="1"/>
  <c r="G98" i="1"/>
  <c r="G75" i="1"/>
  <c r="F102" i="1"/>
  <c r="B55" i="1"/>
  <c r="F225" i="1"/>
  <c r="B163" i="1"/>
  <c r="F151" i="1"/>
  <c r="C209" i="1"/>
  <c r="C27" i="1"/>
  <c r="G72" i="1"/>
  <c r="D166" i="1"/>
  <c r="C26" i="1"/>
  <c r="D46" i="1"/>
  <c r="E206" i="1" a="1"/>
  <c r="D144" i="1"/>
  <c r="F163" i="1"/>
  <c r="D224" i="1"/>
  <c r="E205" i="1" a="1"/>
  <c r="D30" i="1"/>
  <c r="F37" i="1"/>
  <c r="F74" i="1"/>
  <c r="B149" i="1"/>
  <c r="B17" i="1"/>
  <c r="D23" i="1"/>
  <c r="F147" i="1"/>
  <c r="B87" i="1"/>
  <c r="G234" i="1"/>
  <c r="D179" i="1"/>
  <c r="B196" i="1"/>
  <c r="D201" i="1"/>
  <c r="D213" i="1"/>
  <c r="F228" i="1"/>
  <c r="B229" i="1"/>
  <c r="E166" i="1" a="1"/>
  <c r="F180" i="1"/>
  <c r="E17" i="1" a="1"/>
  <c r="D173" i="1"/>
  <c r="G59" i="1"/>
  <c r="E37" i="1" a="1"/>
  <c r="D67" i="1"/>
  <c r="G131" i="1"/>
  <c r="E165" i="1" a="1"/>
  <c r="E139" i="1" a="1"/>
  <c r="E27" i="1" a="1"/>
  <c r="G237" i="1"/>
  <c r="C43" i="1"/>
  <c r="B186" i="1"/>
  <c r="E208" i="1" a="1"/>
  <c r="E86" i="1" a="1"/>
  <c r="D143" i="1"/>
  <c r="D167" i="1"/>
  <c r="C232" i="1"/>
  <c r="E131" i="1" a="1"/>
  <c r="B73" i="1"/>
  <c r="F229" i="1"/>
  <c r="E130" i="1" a="1"/>
  <c r="F201" i="1"/>
  <c r="G89" i="1"/>
  <c r="D112" i="1"/>
  <c r="F156" i="1"/>
  <c r="C97" i="1"/>
  <c r="C237" i="1"/>
  <c r="E75" i="1" a="1"/>
  <c r="F143" i="1"/>
  <c r="E138" i="1" a="1"/>
  <c r="G34" i="1"/>
  <c r="C197" i="1"/>
  <c r="G85" i="1"/>
  <c r="F103" i="1"/>
  <c r="B207" i="1"/>
  <c r="F56" i="1"/>
  <c r="B181" i="1"/>
  <c r="B200" i="1"/>
  <c r="C90" i="1"/>
  <c r="E184" i="1" a="1"/>
  <c r="G239" i="1"/>
  <c r="C57" i="1"/>
  <c r="B20" i="1"/>
  <c r="C131" i="1"/>
  <c r="G212" i="1"/>
  <c r="D133" i="1"/>
  <c r="E43" i="1" a="1"/>
  <c r="D160" i="1"/>
  <c r="B158" i="1"/>
  <c r="E35" i="1" a="1"/>
  <c r="D24" i="1"/>
  <c r="D189" i="1"/>
  <c r="C121" i="1"/>
  <c r="G205" i="1"/>
  <c r="D92" i="1"/>
  <c r="E239" i="1" a="1"/>
  <c r="F11" i="1"/>
  <c r="B85" i="1"/>
  <c r="G79" i="1"/>
  <c r="B71" i="1"/>
  <c r="D168" i="1"/>
  <c r="E78" i="1" a="1"/>
  <c r="B116" i="1"/>
  <c r="G198" i="1"/>
  <c r="F62" i="1"/>
  <c r="E215" i="1" a="1"/>
  <c r="C102" i="1"/>
  <c r="D229" i="1"/>
  <c r="D85" i="1"/>
  <c r="C180" i="1"/>
  <c r="G123" i="1"/>
  <c r="F60" i="1"/>
  <c r="D202" i="1"/>
  <c r="B81" i="1"/>
  <c r="C126" i="1"/>
  <c r="G10" i="1"/>
  <c r="C157" i="1"/>
  <c r="F176" i="1"/>
  <c r="D101" i="1"/>
  <c r="D123" i="1"/>
  <c r="D33" i="1"/>
  <c r="B155" i="1"/>
  <c r="D165" i="1"/>
  <c r="G52" i="1"/>
  <c r="D184" i="1"/>
  <c r="D234" i="1"/>
  <c r="D146" i="1"/>
  <c r="F111" i="1"/>
  <c r="G184" i="1"/>
  <c r="E191" i="1" a="1"/>
  <c r="C182" i="1"/>
  <c r="B54" i="1"/>
  <c r="E240" i="1" a="1"/>
  <c r="B64" i="1"/>
  <c r="B38" i="1"/>
  <c r="E143" i="1" a="1"/>
  <c r="E148" i="1" a="1"/>
  <c r="D214" i="1"/>
  <c r="G11" i="1"/>
  <c r="C93" i="1"/>
  <c r="E50" i="1" a="1"/>
  <c r="E77" i="1" a="1"/>
  <c r="B239" i="1"/>
  <c r="D79" i="1"/>
  <c r="C11" i="1"/>
  <c r="F116" i="1"/>
  <c r="C64" i="1"/>
  <c r="B3" i="2"/>
  <c r="F93" i="1"/>
  <c r="B160" i="1"/>
  <c r="E163" i="1" a="1"/>
  <c r="D99" i="1"/>
  <c r="G134" i="1"/>
  <c r="B242" i="1"/>
  <c r="B225" i="1"/>
  <c r="E102" i="1" a="1"/>
  <c r="E34" i="1" a="1"/>
  <c r="F48" i="1"/>
  <c r="G181" i="1"/>
  <c r="D232" i="1"/>
  <c r="E142" i="1" a="1"/>
  <c r="B210" i="1"/>
  <c r="D41" i="1"/>
  <c r="C110" i="1"/>
  <c r="F159" i="1"/>
  <c r="C155" i="1"/>
  <c r="F187" i="1"/>
  <c r="G163" i="1"/>
  <c r="D20" i="1"/>
  <c r="G208" i="1"/>
  <c r="B14" i="1"/>
  <c r="E39" i="1" a="1"/>
  <c r="E28" i="1" a="1"/>
  <c r="E110" i="1" a="1"/>
  <c r="E145" i="1" a="1"/>
  <c r="C16" i="1"/>
  <c r="G94" i="1"/>
  <c r="B24" i="1"/>
  <c r="D129" i="1"/>
  <c r="E167" i="1" a="1"/>
  <c r="D111" i="1"/>
  <c r="B112" i="1"/>
  <c r="D136" i="1"/>
  <c r="B84" i="1"/>
  <c r="E126" i="1" a="1"/>
  <c r="D52" i="1"/>
  <c r="C114" i="1"/>
  <c r="B197" i="1"/>
  <c r="F87" i="1"/>
  <c r="C31" i="1"/>
  <c r="G42" i="1"/>
  <c r="D154" i="1"/>
  <c r="D119" i="1"/>
  <c r="D57" i="1"/>
  <c r="C25" i="1"/>
  <c r="G128" i="1"/>
  <c r="E93" i="1" a="1"/>
  <c r="E162" i="1" a="1"/>
  <c r="B36" i="1"/>
  <c r="B172" i="1"/>
  <c r="G164" i="1"/>
  <c r="E42" i="1" a="1"/>
  <c r="C230" i="1"/>
  <c r="B174" i="1"/>
  <c r="C60" i="1"/>
  <c r="E137" i="1" a="1"/>
  <c r="F54" i="1"/>
  <c r="F65" i="1"/>
  <c r="B90" i="1"/>
  <c r="E104" i="1" a="1"/>
  <c r="B89" i="1"/>
  <c r="G102" i="1"/>
  <c r="G137" i="1"/>
  <c r="F78" i="1"/>
  <c r="E176" i="1" a="1"/>
  <c r="C217" i="1"/>
  <c r="C55" i="1"/>
  <c r="E229" i="1" a="1"/>
  <c r="G207" i="1"/>
  <c r="D86" i="1"/>
  <c r="E156" i="1" a="1"/>
  <c r="F76" i="1"/>
  <c r="F234" i="1"/>
  <c r="C100" i="1"/>
  <c r="C152" i="1"/>
  <c r="G223" i="1"/>
  <c r="C233" i="1"/>
  <c r="E211" i="1" a="1"/>
  <c r="F55" i="1"/>
  <c r="B46" i="1"/>
  <c r="C105" i="1"/>
  <c r="E217" i="1" a="1"/>
  <c r="C48" i="1"/>
  <c r="B97" i="1"/>
  <c r="F59" i="1"/>
  <c r="B103" i="1"/>
  <c r="G90" i="1"/>
  <c r="F81" i="1"/>
  <c r="G77" i="1"/>
  <c r="E105" i="1" a="1"/>
  <c r="F212" i="1"/>
  <c r="B201" i="1"/>
  <c r="C10" i="1"/>
  <c r="F35" i="1"/>
  <c r="G100" i="1"/>
  <c r="G121" i="1"/>
  <c r="C229" i="1"/>
  <c r="G92" i="1"/>
  <c r="D16" i="1"/>
  <c r="G21" i="1"/>
  <c r="C153" i="1"/>
  <c r="C17" i="1"/>
  <c r="B139" i="1"/>
  <c r="G155" i="1"/>
  <c r="G141" i="1"/>
  <c r="F141" i="1"/>
  <c r="C224" i="1"/>
  <c r="B167" i="1"/>
  <c r="C12" i="1"/>
  <c r="B193" i="1"/>
  <c r="D80" i="1"/>
  <c r="D75" i="1"/>
  <c r="C134" i="1"/>
  <c r="G148" i="1"/>
  <c r="D74" i="1"/>
  <c r="D170" i="1"/>
  <c r="G162" i="1"/>
  <c r="F204" i="1"/>
  <c r="B141" i="1"/>
  <c r="D236" i="1"/>
  <c r="D188" i="1"/>
  <c r="C92" i="1"/>
  <c r="C86" i="1"/>
  <c r="F119" i="1"/>
  <c r="C46" i="1"/>
  <c r="D161" i="1"/>
  <c r="B45" i="1"/>
  <c r="C67" i="1"/>
  <c r="E231" i="1" a="1"/>
  <c r="G37" i="1"/>
  <c r="B76" i="1"/>
  <c r="D191" i="1"/>
  <c r="F109" i="1"/>
  <c r="D94" i="1"/>
  <c r="D45" i="1"/>
  <c r="C205" i="1"/>
  <c r="D241" i="1"/>
  <c r="B133" i="1"/>
  <c r="F238" i="1"/>
  <c r="D11" i="1"/>
  <c r="D163" i="1"/>
  <c r="F135" i="1"/>
  <c r="C137" i="1"/>
  <c r="B119" i="1"/>
  <c r="D121" i="1"/>
  <c r="E87" i="1" a="1"/>
  <c r="D77" i="1"/>
  <c r="F168" i="1"/>
  <c r="D128" i="1"/>
  <c r="F70" i="1"/>
  <c r="G68" i="1"/>
  <c r="B124" i="1"/>
  <c r="G73" i="1"/>
  <c r="G226" i="1"/>
  <c r="D152" i="1"/>
  <c r="G124" i="1"/>
  <c r="D176" i="1"/>
  <c r="C88" i="1"/>
  <c r="F200" i="1"/>
  <c r="D91" i="1"/>
  <c r="E158" i="1" a="1"/>
  <c r="F123" i="1"/>
  <c r="F99" i="1"/>
  <c r="B26" i="1"/>
  <c r="C68" i="1"/>
  <c r="B195" i="1"/>
  <c r="G106" i="1"/>
  <c r="B205" i="1"/>
  <c r="C226" i="1"/>
  <c r="C231" i="1"/>
  <c r="C138" i="1"/>
  <c r="D155" i="1"/>
  <c r="D157" i="1"/>
  <c r="E189" i="1" a="1"/>
  <c r="F21" i="1"/>
  <c r="G41" i="1"/>
  <c r="D42" i="1"/>
  <c r="C214" i="1"/>
  <c r="F232" i="1"/>
  <c r="F38" i="1"/>
  <c r="F161" i="1"/>
  <c r="C75" i="1"/>
  <c r="E92" i="1" a="1"/>
  <c r="E91" i="1" a="1"/>
  <c r="B43" i="1"/>
  <c r="F211" i="1"/>
  <c r="G135" i="1"/>
  <c r="B79" i="1"/>
  <c r="B227" i="1"/>
  <c r="G235" i="1"/>
  <c r="C127" i="1"/>
  <c r="B18" i="1"/>
  <c r="B86" i="1"/>
  <c r="C162" i="1"/>
  <c r="E95" i="1" a="1"/>
  <c r="B47" i="1"/>
  <c r="D162" i="1"/>
  <c r="G188" i="1"/>
  <c r="E216" i="1" a="1"/>
  <c r="F240" i="1"/>
  <c r="D69" i="1"/>
  <c r="E55" i="1" a="1"/>
  <c r="E179" i="1" a="1"/>
  <c r="F126" i="1"/>
  <c r="D93" i="1"/>
  <c r="B10" i="1"/>
  <c r="D51" i="1"/>
  <c r="C200" i="1"/>
  <c r="F17" i="1"/>
  <c r="C223" i="1"/>
  <c r="F29" i="1"/>
  <c r="F210" i="1"/>
  <c r="C95" i="1"/>
  <c r="E154" i="1" a="1"/>
  <c r="E24" i="1" a="1"/>
  <c r="G217" i="1"/>
  <c r="F203" i="1"/>
  <c r="B75" i="1"/>
  <c r="C168" i="1"/>
  <c r="D117" i="1"/>
  <c r="E90" i="1" a="1"/>
  <c r="D228" i="1"/>
  <c r="F217" i="1"/>
  <c r="B113" i="1"/>
  <c r="F131" i="1"/>
  <c r="F27" i="1"/>
  <c r="B50" i="1"/>
  <c r="B82" i="1"/>
  <c r="D181" i="1"/>
  <c r="F25" i="1"/>
  <c r="C81" i="1"/>
  <c r="D34" i="1"/>
  <c r="B95" i="1"/>
  <c r="C89" i="1"/>
  <c r="F202" i="1"/>
  <c r="B93" i="1"/>
  <c r="C53" i="1"/>
  <c r="C167" i="1"/>
  <c r="G109" i="1"/>
  <c r="F172" i="1"/>
  <c r="B72" i="1"/>
  <c r="F192" i="1"/>
  <c r="D135" i="1"/>
  <c r="D105" i="1"/>
  <c r="D159" i="1"/>
  <c r="B189" i="1"/>
  <c r="B240" i="1"/>
  <c r="G50" i="1"/>
  <c r="E188" i="1" a="1"/>
  <c r="B104" i="1"/>
  <c r="E235" i="1" a="1"/>
  <c r="B57" i="1"/>
  <c r="F61" i="1"/>
  <c r="D37" i="1"/>
  <c r="F162" i="1"/>
  <c r="D96" i="1"/>
  <c r="G61" i="1"/>
  <c r="G62" i="1"/>
  <c r="G69" i="1"/>
  <c r="B134" i="1"/>
  <c r="B223" i="1"/>
  <c r="F113" i="1"/>
  <c r="D172" i="1"/>
  <c r="F197" i="1"/>
  <c r="G230" i="1"/>
  <c r="C165" i="1"/>
  <c r="G14" i="1"/>
  <c r="G104" i="1"/>
  <c r="E228" i="1" a="1"/>
  <c r="F184" i="1"/>
  <c r="B206" i="1"/>
  <c r="F30" i="1"/>
  <c r="E197" i="1" a="1"/>
  <c r="F20" i="1"/>
  <c r="G97" i="1"/>
  <c r="D115" i="1"/>
  <c r="B65" i="1"/>
  <c r="D194" i="1"/>
  <c r="C52" i="1"/>
  <c r="C236" i="1"/>
  <c r="G218" i="1"/>
  <c r="E22" i="1" a="1"/>
  <c r="E238" i="1" a="1"/>
  <c r="C123" i="1"/>
  <c r="E202" i="1" a="1"/>
  <c r="D97" i="1"/>
  <c r="G22" i="1"/>
  <c r="G196" i="1"/>
  <c r="B19" i="1"/>
  <c r="C192" i="1"/>
  <c r="E11" i="1" a="1"/>
  <c r="B232" i="1"/>
  <c r="B233" i="1"/>
  <c r="F97" i="1"/>
  <c r="E147" i="1" a="1"/>
  <c r="G238" i="1"/>
  <c r="G78" i="1"/>
  <c r="C73" i="1"/>
  <c r="B154" i="1"/>
  <c r="D131" i="1"/>
  <c r="C175" i="1"/>
  <c r="E53" i="1" a="1"/>
  <c r="C141" i="1"/>
  <c r="G117" i="1"/>
  <c r="D54" i="1"/>
  <c r="F39" i="1"/>
  <c r="F220" i="1"/>
  <c r="C35" i="1"/>
  <c r="F231" i="1"/>
  <c r="B91" i="1"/>
  <c r="C109" i="1"/>
  <c r="B21" i="1"/>
  <c r="C222" i="1"/>
  <c r="E173" i="1" a="1"/>
  <c r="D15" i="1"/>
  <c r="C216" i="1"/>
  <c r="D59" i="1"/>
  <c r="C22" i="1"/>
  <c r="G88" i="1"/>
  <c r="G55" i="1"/>
  <c r="F32" i="1"/>
  <c r="C42" i="1"/>
  <c r="C170" i="1"/>
  <c r="E146" i="1" a="1"/>
  <c r="B213" i="1"/>
  <c r="B182" i="1"/>
  <c r="G187" i="1"/>
  <c r="G64" i="1"/>
  <c r="B204" i="1"/>
  <c r="E168" i="1" a="1"/>
  <c r="G204" i="1"/>
  <c r="D84" i="1"/>
  <c r="F91" i="1"/>
  <c r="B147" i="1"/>
  <c r="B220" i="1"/>
  <c r="G165" i="1"/>
  <c r="C76" i="1"/>
  <c r="G215" i="1"/>
  <c r="F63" i="1"/>
  <c r="E144" i="1" a="1"/>
  <c r="D221" i="1"/>
  <c r="B105" i="1"/>
  <c r="E41" i="1" a="1"/>
  <c r="G186" i="1"/>
  <c r="D238" i="1"/>
  <c r="B120" i="1"/>
  <c r="G241" i="1"/>
  <c r="E134" i="1" a="1"/>
  <c r="C203" i="1"/>
  <c r="G233" i="1"/>
  <c r="B138" i="1"/>
  <c r="B199" i="1"/>
  <c r="E58" i="1" a="1"/>
  <c r="D124" i="1"/>
  <c r="G145" i="1"/>
  <c r="C15" i="1"/>
  <c r="B170" i="1"/>
  <c r="C36" i="1"/>
  <c r="F100" i="1"/>
  <c r="E186" i="1" a="1"/>
  <c r="D31" i="1"/>
  <c r="D139" i="1"/>
  <c r="D70" i="1"/>
  <c r="D13" i="1"/>
  <c r="E221" i="1" a="1"/>
  <c r="G120" i="1"/>
  <c r="F137" i="1"/>
  <c r="G231" i="1"/>
  <c r="B48" i="1"/>
  <c r="G70" i="1"/>
  <c r="E225" i="1" a="1"/>
  <c r="D180" i="1"/>
  <c r="E40" i="1" a="1"/>
  <c r="F75" i="1"/>
  <c r="E48" i="1" a="1"/>
  <c r="C149" i="1"/>
  <c r="B194" i="1"/>
  <c r="G81" i="1"/>
  <c r="E101" i="1" a="1"/>
  <c r="E182" i="1" a="1"/>
  <c r="G177" i="1"/>
  <c r="C160" i="1"/>
  <c r="G211" i="1"/>
  <c r="F58" i="1"/>
  <c r="B11" i="1"/>
  <c r="D183" i="1"/>
  <c r="D22" i="1"/>
  <c r="E112" i="1" a="1"/>
  <c r="F224" i="1"/>
  <c r="D193" i="1"/>
  <c r="B215" i="1"/>
  <c r="F124" i="1"/>
  <c r="E109" i="1" a="1"/>
  <c r="B203" i="1"/>
  <c r="B171" i="1"/>
  <c r="C115" i="1"/>
  <c r="B241" i="1"/>
  <c r="F214" i="1"/>
  <c r="E193" i="1" a="1"/>
  <c r="F44" i="1"/>
  <c r="G80" i="1"/>
  <c r="C183" i="1"/>
  <c r="C78" i="1"/>
  <c r="C58" i="1"/>
  <c r="G20" i="1"/>
  <c r="B63" i="1"/>
  <c r="B110" i="1"/>
  <c r="F188" i="1"/>
  <c r="F115" i="1"/>
  <c r="C156" i="1"/>
  <c r="F53" i="1"/>
  <c r="D205" i="1"/>
  <c r="G67" i="1"/>
  <c r="D29" i="1"/>
  <c r="E81" i="1" a="1"/>
  <c r="G25" i="1"/>
  <c r="D25" i="1"/>
  <c r="E94" i="1" a="1"/>
  <c r="C20" i="1"/>
  <c r="G29" i="1"/>
  <c r="C30" i="1"/>
  <c r="G19" i="1"/>
  <c r="G74" i="1"/>
  <c r="E18" i="1" a="1"/>
  <c r="D98" i="1"/>
  <c r="B32" i="1"/>
  <c r="D108" i="1"/>
  <c r="D153" i="1"/>
  <c r="B231" i="1"/>
  <c r="G82" i="1"/>
  <c r="D212" i="1"/>
  <c r="E68" i="1" a="1"/>
  <c r="B243" i="1"/>
  <c r="C133" i="1"/>
  <c r="F84" i="1"/>
  <c r="F198" i="1"/>
  <c r="C124" i="1"/>
  <c r="D217" i="1"/>
  <c r="B148" i="1"/>
  <c r="D12" i="1"/>
  <c r="F90" i="1"/>
  <c r="E177" i="1" a="1"/>
  <c r="F16" i="1"/>
  <c r="B101" i="1"/>
  <c r="F12" i="1"/>
  <c r="F105" i="1"/>
  <c r="B44" i="1"/>
  <c r="F223" i="1"/>
  <c r="E141" i="1" a="1"/>
  <c r="D204" i="1"/>
  <c r="E12" i="1" a="1"/>
  <c r="C33" i="1"/>
  <c r="D178" i="1"/>
  <c r="E32" i="1" a="1"/>
  <c r="E190" i="1" a="1"/>
  <c r="B70" i="1"/>
  <c r="E106" i="1" a="1"/>
  <c r="D138" i="1"/>
  <c r="C132" i="1"/>
  <c r="D21" i="1"/>
  <c r="C29" i="1"/>
  <c r="E36" i="1" a="1"/>
  <c r="G154" i="1"/>
  <c r="E180" i="1" a="1"/>
  <c r="G182" i="1"/>
  <c r="D222" i="1"/>
  <c r="F179" i="1"/>
  <c r="F199" i="1"/>
  <c r="C74" i="1"/>
  <c r="E210" i="1" a="1"/>
  <c r="D44" i="1"/>
  <c r="G199" i="1"/>
  <c r="D68" i="1"/>
  <c r="G161" i="1"/>
  <c r="C136" i="1"/>
  <c r="D43" i="1"/>
  <c r="B28" i="1"/>
  <c r="C38" i="1"/>
  <c r="B190" i="1"/>
  <c r="F178" i="1"/>
  <c r="C72" i="1"/>
  <c r="D95" i="1"/>
  <c r="G139" i="1"/>
  <c r="D209" i="1"/>
  <c r="G60" i="1"/>
  <c r="F118" i="1"/>
  <c r="B49" i="1"/>
  <c r="B164" i="1"/>
  <c r="D223" i="1"/>
  <c r="F209" i="1"/>
  <c r="E198" i="1" a="1"/>
  <c r="C14" i="1"/>
  <c r="E103" i="1" a="1"/>
  <c r="E195" i="1" a="1"/>
  <c r="D195" i="1"/>
  <c r="G140" i="1"/>
  <c r="C13" i="1"/>
  <c r="E44" i="1" a="1"/>
  <c r="G113" i="1"/>
  <c r="D142" i="1"/>
  <c r="C71" i="1"/>
  <c r="F127" i="1"/>
  <c r="F236" i="1"/>
  <c r="F241" i="1"/>
  <c r="C187" i="1"/>
  <c r="C70" i="1"/>
  <c r="F72" i="1"/>
  <c r="E226" i="1" a="1"/>
  <c r="B140" i="1"/>
  <c r="C202" i="1"/>
  <c r="B191" i="1"/>
  <c r="G221" i="1"/>
  <c r="D220" i="1"/>
  <c r="D76" i="1"/>
  <c r="G38" i="1"/>
  <c r="B180" i="1"/>
  <c r="D140" i="1"/>
  <c r="D63" i="1"/>
  <c r="G151" i="1"/>
  <c r="G202" i="1"/>
  <c r="B94" i="1"/>
  <c r="F155" i="1"/>
  <c r="D116" i="1"/>
  <c r="G171" i="1"/>
  <c r="E241" i="1" a="1"/>
  <c r="C94" i="1"/>
  <c r="D175" i="1"/>
  <c r="C240" i="1"/>
  <c r="E111" i="1" a="1"/>
  <c r="B208" i="1"/>
  <c r="C171" i="1"/>
  <c r="C185" i="1"/>
  <c r="B151" i="1"/>
  <c r="E214" i="1" a="1"/>
  <c r="G150" i="1"/>
  <c r="B198" i="1"/>
  <c r="D225" i="1"/>
  <c r="E54" i="1" a="1"/>
  <c r="B30" i="1"/>
  <c r="C218" i="1"/>
  <c r="D216" i="1"/>
  <c r="D203" i="1"/>
  <c r="D130" i="1"/>
  <c r="G40" i="1"/>
  <c r="F10" i="1"/>
  <c r="C220" i="1"/>
  <c r="G93" i="1"/>
  <c r="C61" i="1"/>
  <c r="F152" i="1"/>
  <c r="F15" i="1"/>
  <c r="B128" i="1"/>
  <c r="C166" i="1"/>
  <c r="E199" i="1" a="1"/>
  <c r="E97" i="1" a="1"/>
  <c r="B106" i="1"/>
  <c r="C28" i="1"/>
  <c r="C215" i="1"/>
  <c r="D164" i="1"/>
  <c r="E172" i="1" a="1"/>
  <c r="E200" i="1" a="1"/>
  <c r="F28" i="1"/>
  <c r="D125" i="1"/>
  <c r="B235" i="1"/>
  <c r="F108" i="1"/>
  <c r="C51" i="1"/>
  <c r="G71" i="1"/>
  <c r="E237" i="1" a="1"/>
  <c r="G152" i="1"/>
  <c r="B99" i="1"/>
  <c r="G27" i="1"/>
  <c r="E45" i="1" a="1"/>
  <c r="C161" i="1"/>
  <c r="D177" i="1"/>
  <c r="B214" i="1"/>
  <c r="F195" i="1"/>
  <c r="C106" i="1"/>
  <c r="F146" i="1"/>
  <c r="F175" i="1"/>
  <c r="E127" i="1" a="1"/>
  <c r="D215" i="1"/>
  <c r="E26" i="1" a="1"/>
  <c r="F23" i="1"/>
  <c r="D132" i="1"/>
  <c r="G224" i="1"/>
  <c r="D18" i="1"/>
  <c r="E136" i="1" a="1"/>
  <c r="F36" i="1"/>
  <c r="E120" i="1" a="1"/>
  <c r="F165" i="1"/>
  <c r="E13" i="1" a="1"/>
  <c r="D197" i="1"/>
  <c r="F190" i="1"/>
  <c r="G17" i="1"/>
  <c r="G179" i="1"/>
  <c r="B111" i="1"/>
  <c r="C119" i="1"/>
  <c r="C117" i="1"/>
  <c r="E224" i="1" a="1"/>
  <c r="D109" i="1"/>
  <c r="C18" i="1"/>
  <c r="G110" i="1"/>
  <c r="G16" i="1"/>
  <c r="B234" i="1"/>
  <c r="E170" i="1" a="1"/>
  <c r="G146" i="1"/>
  <c r="E160" i="1" a="1"/>
  <c r="D240" i="1"/>
  <c r="D235" i="1"/>
  <c r="D27" i="1"/>
  <c r="G96" i="1"/>
  <c r="E72" i="1" a="1"/>
  <c r="E175" i="1" a="1"/>
  <c r="G136" i="1"/>
  <c r="F51" i="1"/>
  <c r="G232" i="1"/>
  <c r="B142" i="1"/>
  <c r="B121" i="1"/>
  <c r="C196" i="1"/>
  <c r="D148" i="1"/>
  <c r="E115" i="1" a="1"/>
  <c r="F14" i="1"/>
  <c r="G174" i="1"/>
  <c r="C47" i="1"/>
  <c r="B187" i="1"/>
  <c r="F82" i="1"/>
  <c r="C65" i="1"/>
  <c r="D118" i="1"/>
  <c r="B173" i="1"/>
  <c r="E108" i="1" a="1"/>
  <c r="F50" i="1"/>
  <c r="G185" i="1"/>
  <c r="D17" i="1"/>
  <c r="F194" i="1"/>
  <c r="D208" i="1"/>
  <c r="C84" i="1"/>
  <c r="B42" i="1"/>
  <c r="E204" i="1" a="1"/>
  <c r="E113" i="1" a="1"/>
  <c r="G176" i="1"/>
  <c r="B159" i="1"/>
  <c r="C243" i="1"/>
  <c r="D198" i="1"/>
  <c r="F233" i="1"/>
  <c r="G54" i="1"/>
  <c r="E242" i="1" a="1"/>
  <c r="E233" i="1" a="1"/>
  <c r="B39" i="1"/>
  <c r="C79" i="1"/>
  <c r="B156" i="1"/>
  <c r="G144" i="1"/>
  <c r="E23" i="1" a="1"/>
  <c r="G53" i="1"/>
  <c r="C227" i="1"/>
  <c r="D192" i="1"/>
  <c r="D231" i="1"/>
  <c r="E171" i="1" a="1"/>
  <c r="E183" i="1" a="1"/>
  <c r="F41" i="1"/>
  <c r="D56" i="1"/>
  <c r="G190" i="1"/>
  <c r="G167" i="1"/>
  <c r="E203" i="1" a="1"/>
  <c r="F132" i="1"/>
  <c r="F86" i="1"/>
  <c r="F139" i="1"/>
  <c r="B67" i="1"/>
  <c r="D81" i="1"/>
  <c r="F95" i="1"/>
  <c r="F33" i="1"/>
  <c r="B143" i="1"/>
  <c r="D36" i="1"/>
  <c r="G240" i="1"/>
  <c r="F157" i="1"/>
  <c r="G125" i="1"/>
  <c r="G206" i="1"/>
  <c r="D87" i="1"/>
  <c r="F189" i="1"/>
  <c r="B166" i="1"/>
  <c r="G156" i="1"/>
  <c r="G160" i="1"/>
  <c r="F77" i="1"/>
  <c r="F34" i="1"/>
  <c r="F206" i="1"/>
  <c r="G175" i="1"/>
  <c r="F47" i="1"/>
  <c r="D187" i="1"/>
  <c r="F140" i="1"/>
  <c r="C135" i="1"/>
  <c r="C139" i="1"/>
  <c r="F154" i="1"/>
  <c r="E98" i="1" a="1"/>
  <c r="B68" i="1"/>
  <c r="G56" i="1"/>
  <c r="C201" i="1"/>
  <c r="G119" i="1"/>
  <c r="F145" i="1"/>
  <c r="F138" i="1"/>
  <c r="E100" i="1" a="1"/>
  <c r="G216" i="1"/>
  <c r="F218" i="1"/>
  <c r="G158" i="1"/>
  <c r="D126" i="1"/>
  <c r="G236" i="1"/>
  <c r="E82" i="1" a="1"/>
  <c r="E107" i="1" a="1"/>
  <c r="C239" i="1"/>
  <c r="F46" i="1"/>
  <c r="F177" i="1"/>
  <c r="G44" i="1"/>
  <c r="E62" i="1" a="1"/>
  <c r="E219" i="1" a="1"/>
  <c r="B216" i="1"/>
  <c r="C128" i="1"/>
  <c r="B35" i="1"/>
  <c r="D88" i="1"/>
  <c r="F52" i="1"/>
  <c r="C120" i="1"/>
  <c r="C122" i="1"/>
  <c r="D60" i="1"/>
  <c r="F219" i="1"/>
  <c r="B88" i="1"/>
  <c r="C41" i="1"/>
  <c r="E33" i="1" a="1"/>
  <c r="B192" i="1"/>
  <c r="E16" i="1" a="1"/>
  <c r="E21" i="1" a="1"/>
  <c r="C184" i="1"/>
  <c r="D226" i="1"/>
  <c r="B80" i="1"/>
  <c r="D47" i="1"/>
  <c r="F221" i="1"/>
  <c r="E67" i="1" a="1"/>
  <c r="C164" i="1"/>
  <c r="B165" i="1"/>
  <c r="C62" i="1"/>
  <c r="C212" i="1"/>
  <c r="G172" i="1"/>
  <c r="F117" i="1"/>
  <c r="E201" i="1" a="1"/>
  <c r="D19" i="1"/>
  <c r="D186" i="1"/>
  <c r="E10" i="1" a="1"/>
  <c r="C221" i="1"/>
  <c r="C158" i="1"/>
  <c r="E223" i="1" a="1"/>
  <c r="G95" i="1"/>
  <c r="D35" i="1"/>
  <c r="B31" i="1"/>
  <c r="D50" i="1"/>
  <c r="B224" i="1"/>
  <c r="E71" i="1" a="1"/>
  <c r="F216" i="1"/>
  <c r="G30" i="1"/>
  <c r="B37" i="1"/>
  <c r="C56" i="1"/>
  <c r="D237" i="1"/>
  <c r="B92" i="1"/>
  <c r="D64" i="1"/>
  <c r="G33" i="1"/>
  <c r="F66" i="1"/>
  <c r="B177" i="1"/>
  <c r="G107" i="1"/>
  <c r="C98" i="1"/>
  <c r="D38" i="1"/>
  <c r="C238" i="1"/>
  <c r="C234" i="1"/>
  <c r="G51" i="1"/>
  <c r="D78" i="1"/>
  <c r="C69" i="1"/>
  <c r="E88" i="1" a="1"/>
  <c r="C208" i="1"/>
  <c r="B130" i="1"/>
  <c r="D190" i="1"/>
  <c r="F174" i="1"/>
  <c r="B52" i="1"/>
  <c r="F80" i="1"/>
  <c r="G166" i="1"/>
  <c r="F150" i="1"/>
  <c r="C211" i="1"/>
  <c r="F96" i="1"/>
  <c r="F83" i="1"/>
  <c r="F45" i="1"/>
  <c r="B4" i="2" a="1"/>
  <c r="F69" i="1"/>
  <c r="C143" i="1"/>
  <c r="D127" i="1"/>
  <c r="F106" i="1"/>
  <c r="F153" i="1"/>
  <c r="C49" i="1"/>
  <c r="F182" i="1"/>
  <c r="G91" i="1"/>
  <c r="F213" i="1"/>
  <c r="D89" i="1"/>
  <c r="G214" i="1"/>
  <c r="G195" i="1"/>
  <c r="F92" i="1"/>
  <c r="E133" i="1" a="1"/>
  <c r="B161" i="1"/>
  <c r="E236" i="1" a="1"/>
  <c r="C59" i="1"/>
  <c r="D242" i="1"/>
  <c r="C169" i="1"/>
  <c r="B74" i="1"/>
  <c r="G48" i="1"/>
  <c r="B25" i="1"/>
  <c r="B137" i="1"/>
  <c r="F164" i="1"/>
  <c r="B150" i="1"/>
  <c r="G225" i="1"/>
  <c r="B53" i="1"/>
  <c r="G130" i="1"/>
  <c r="F196" i="1"/>
  <c r="C242" i="1"/>
  <c r="E19" i="1" a="1"/>
  <c r="C174" i="1"/>
  <c r="B98" i="1"/>
  <c r="F239" i="1"/>
  <c r="C140" i="1"/>
  <c r="B136" i="1"/>
  <c r="E140" i="1" a="1"/>
  <c r="D210" i="1"/>
  <c r="G157" i="1"/>
  <c r="B179" i="1"/>
  <c r="D82" i="1"/>
  <c r="C37" i="1"/>
  <c r="G159" i="1"/>
  <c r="C83" i="1"/>
  <c r="D14" i="1"/>
  <c r="B16" i="1"/>
  <c r="E194" i="1" a="1"/>
  <c r="C147" i="1"/>
  <c r="B202" i="1"/>
  <c r="B188" i="1"/>
  <c r="G169" i="1"/>
  <c r="C34" i="1"/>
  <c r="D48" i="1"/>
  <c r="F71" i="1"/>
  <c r="G138" i="1"/>
  <c r="E122" i="1" a="1"/>
  <c r="F227" i="1"/>
  <c r="C80" i="1"/>
  <c r="D107" i="1"/>
  <c r="D171" i="1"/>
  <c r="D137" i="1"/>
  <c r="G84" i="1"/>
  <c r="E59" i="1" a="1"/>
  <c r="F136" i="1"/>
  <c r="G83" i="1"/>
  <c r="F186" i="1"/>
  <c r="F134" i="1"/>
  <c r="G13" i="1"/>
  <c r="E161" i="1" a="1"/>
  <c r="G122" i="1"/>
  <c r="F230" i="1"/>
  <c r="E232" i="1" a="1"/>
  <c r="C195" i="1"/>
  <c r="E51" i="1" a="1"/>
  <c r="G178" i="1"/>
  <c r="E61" i="1" a="1"/>
  <c r="E181" i="1" a="1"/>
  <c r="G222" i="1"/>
  <c r="F171" i="1"/>
  <c r="C198" i="1"/>
  <c r="B107" i="1"/>
  <c r="G87" i="1"/>
  <c r="F88" i="1"/>
  <c r="C23" i="1"/>
  <c r="D158" i="1"/>
  <c r="B238" i="1"/>
  <c r="D103" i="1"/>
  <c r="F107" i="1"/>
  <c r="D174" i="1"/>
  <c r="E119" i="1" a="1"/>
  <c r="C125" i="1"/>
  <c r="B212" i="1"/>
  <c r="D206" i="1"/>
  <c r="G112" i="1"/>
  <c r="B34" i="1"/>
  <c r="C172" i="1"/>
  <c r="E69" i="1" a="1"/>
  <c r="B217" i="1"/>
  <c r="C194" i="1"/>
  <c r="C24" i="1"/>
  <c r="E153" i="1" a="1"/>
  <c r="E74" i="1" a="1"/>
  <c r="G35" i="1"/>
  <c r="B109" i="1"/>
  <c r="F94" i="1"/>
  <c r="G219" i="1"/>
  <c r="F120" i="1"/>
  <c r="G103" i="1"/>
  <c r="E174" i="1" a="1"/>
  <c r="D185" i="1"/>
  <c r="B157" i="1"/>
  <c r="E30" i="1" a="1"/>
  <c r="C129" i="1"/>
  <c r="C108" i="1"/>
  <c r="D196" i="1"/>
  <c r="G227" i="1"/>
  <c r="E96" i="1" a="1"/>
  <c r="E49" i="1" a="1"/>
  <c r="G153" i="1"/>
  <c r="E207" i="1" a="1"/>
  <c r="B51" i="1"/>
  <c r="B131" i="1"/>
  <c r="B144" i="1"/>
  <c r="G127" i="1"/>
  <c r="E132" i="1" a="1"/>
  <c r="F22" i="1"/>
  <c r="E80" i="1" a="1"/>
  <c r="E178" i="1" a="1"/>
  <c r="F130" i="1"/>
  <c r="G23" i="1"/>
  <c r="B145" i="1"/>
  <c r="G116" i="1"/>
  <c r="G26" i="1"/>
  <c r="E125" i="1" a="1"/>
  <c r="C113" i="1"/>
  <c r="E73" i="1" a="1"/>
  <c r="C19" i="1"/>
  <c r="D49" i="1"/>
  <c r="C206" i="1"/>
  <c r="G191" i="1"/>
  <c r="C176" i="1"/>
  <c r="C82" i="1"/>
  <c r="B162" i="1"/>
  <c r="F142" i="1"/>
  <c r="G36" i="1"/>
  <c r="D65" i="1"/>
  <c r="E234" i="1" a="1"/>
  <c r="F242" i="1"/>
  <c r="G126" i="1"/>
  <c r="E220" i="1" a="1"/>
  <c r="F68" i="1"/>
  <c r="D39" i="1"/>
  <c r="D102" i="1"/>
  <c r="E25" i="1" a="1"/>
  <c r="F160" i="1"/>
  <c r="E83" i="1" a="1"/>
  <c r="D239" i="1"/>
  <c r="C32" i="1"/>
  <c r="G203" i="1"/>
  <c r="B62" i="1"/>
  <c r="D53" i="1"/>
  <c r="B146" i="1"/>
  <c r="B23" i="1"/>
  <c r="D200" i="1"/>
  <c r="D151" i="1"/>
  <c r="D40" i="1"/>
  <c r="E76" i="1" a="1"/>
  <c r="B77" i="1"/>
  <c r="D61" i="1"/>
  <c r="B185" i="1"/>
  <c r="D230" i="1"/>
  <c r="F26" i="1"/>
  <c r="F121" i="1"/>
  <c r="B135" i="1"/>
  <c r="E116" i="1" a="1"/>
  <c r="E157" i="1" a="1"/>
  <c r="B125" i="1"/>
  <c r="G101" i="1"/>
  <c r="C204" i="1"/>
  <c r="E185" i="1" a="1"/>
  <c r="D26" i="1"/>
  <c r="F133" i="1"/>
  <c r="E169" i="1" a="1"/>
  <c r="C219" i="1"/>
  <c r="G63" i="1"/>
  <c r="F144" i="1"/>
  <c r="C104" i="1"/>
  <c r="E66" i="1" a="1"/>
  <c r="C107" i="1"/>
  <c r="B218" i="1"/>
  <c r="B176" i="1"/>
  <c r="G200" i="1"/>
  <c r="G193" i="1"/>
  <c r="B132" i="1"/>
  <c r="B83" i="1"/>
  <c r="G242" i="1"/>
  <c r="G168" i="1"/>
  <c r="F31" i="1"/>
  <c r="D32" i="1"/>
  <c r="B178" i="1"/>
  <c r="B22" i="1"/>
  <c r="C45" i="1"/>
  <c r="D120" i="1"/>
  <c r="E117" i="1" a="1"/>
  <c r="C148" i="1"/>
  <c r="D104" i="1"/>
  <c r="C77" i="1"/>
  <c r="C66" i="1"/>
  <c r="B175" i="1"/>
  <c r="F24" i="1"/>
  <c r="B153" i="1"/>
  <c r="C150" i="1"/>
  <c r="C193" i="1"/>
  <c r="G57" i="1"/>
  <c r="C145" i="1"/>
  <c r="E14" i="1" a="1"/>
  <c r="C63" i="1"/>
  <c r="F205" i="1"/>
  <c r="G180" i="1"/>
  <c r="E29" i="1" a="1"/>
  <c r="C213" i="1"/>
  <c r="E227" i="1" a="1"/>
  <c r="G197" i="1"/>
  <c r="F208" i="1"/>
  <c r="C112" i="1"/>
  <c r="F128" i="1"/>
  <c r="B69" i="1"/>
  <c r="C40" i="1"/>
  <c r="B100" i="1"/>
  <c r="F104" i="1"/>
  <c r="G173" i="1"/>
  <c r="C39" i="1"/>
  <c r="B4" i="1"/>
  <c r="E192" i="1" a="1"/>
  <c r="E159" i="1" a="1"/>
  <c r="F191" i="1"/>
  <c r="F222" i="1"/>
  <c r="C144" i="1"/>
  <c r="B59" i="1"/>
  <c r="F114" i="1"/>
  <c r="D73" i="1"/>
  <c r="I59" i="1" l="1"/>
  <c r="E159" i="1"/>
  <c r="E192" i="1"/>
  <c r="I100" i="1"/>
  <c r="I69" i="1"/>
  <c r="E227" i="1"/>
  <c r="E29" i="1"/>
  <c r="E14" i="1"/>
  <c r="I153" i="1"/>
  <c r="I175" i="1"/>
  <c r="E117" i="1"/>
  <c r="I22" i="1"/>
  <c r="I178" i="1"/>
  <c r="I83" i="1"/>
  <c r="I132" i="1"/>
  <c r="I176" i="1"/>
  <c r="I218" i="1"/>
  <c r="E66" i="1"/>
  <c r="E169" i="1"/>
  <c r="E185" i="1"/>
  <c r="I125" i="1"/>
  <c r="E157" i="1"/>
  <c r="E116" i="1"/>
  <c r="I135" i="1"/>
  <c r="I185" i="1"/>
  <c r="I77" i="1"/>
  <c r="E76" i="1"/>
  <c r="I23" i="1"/>
  <c r="I146" i="1"/>
  <c r="I62" i="1"/>
  <c r="E83" i="1"/>
  <c r="E25" i="1"/>
  <c r="E220" i="1"/>
  <c r="E234" i="1"/>
  <c r="I162" i="1"/>
  <c r="E73" i="1"/>
  <c r="E125" i="1"/>
  <c r="I145" i="1"/>
  <c r="E178" i="1"/>
  <c r="E80" i="1"/>
  <c r="E132" i="1"/>
  <c r="I144" i="1"/>
  <c r="I131" i="1"/>
  <c r="I51" i="1"/>
  <c r="E207" i="1"/>
  <c r="E49" i="1"/>
  <c r="E96" i="1"/>
  <c r="E30" i="1"/>
  <c r="I157" i="1"/>
  <c r="E174" i="1"/>
  <c r="I109" i="1"/>
  <c r="E74" i="1"/>
  <c r="E153" i="1"/>
  <c r="I217" i="1"/>
  <c r="E69" i="1"/>
  <c r="I34" i="1"/>
  <c r="I212" i="1"/>
  <c r="E119" i="1"/>
  <c r="I238" i="1"/>
  <c r="I107" i="1"/>
  <c r="E181" i="1"/>
  <c r="E61" i="1"/>
  <c r="E51" i="1"/>
  <c r="E232" i="1"/>
  <c r="E161" i="1"/>
  <c r="E59" i="1"/>
  <c r="E122" i="1"/>
  <c r="I188" i="1"/>
  <c r="I202" i="1"/>
  <c r="E194" i="1"/>
  <c r="I16" i="1"/>
  <c r="I179" i="1"/>
  <c r="E140" i="1"/>
  <c r="I136" i="1"/>
  <c r="I98" i="1"/>
  <c r="E19" i="1"/>
  <c r="I53" i="1"/>
  <c r="I150" i="1"/>
  <c r="I137" i="1"/>
  <c r="I25" i="1"/>
  <c r="I74" i="1"/>
  <c r="E236" i="1"/>
  <c r="I161" i="1"/>
  <c r="E133" i="1"/>
  <c r="B4" i="2"/>
  <c r="B5" i="2" s="1"/>
  <c r="I52" i="1"/>
  <c r="I130" i="1"/>
  <c r="E88" i="1"/>
  <c r="I177" i="1"/>
  <c r="I92" i="1"/>
  <c r="I37" i="1"/>
  <c r="E71" i="1"/>
  <c r="I224" i="1"/>
  <c r="I31" i="1"/>
  <c r="E223" i="1"/>
  <c r="E10" i="1"/>
  <c r="E201" i="1"/>
  <c r="I165" i="1"/>
  <c r="E67" i="1"/>
  <c r="I80" i="1"/>
  <c r="E21" i="1"/>
  <c r="E16" i="1"/>
  <c r="I192" i="1"/>
  <c r="E33" i="1"/>
  <c r="I88" i="1"/>
  <c r="I35" i="1"/>
  <c r="I216" i="1"/>
  <c r="E219" i="1"/>
  <c r="E62" i="1"/>
  <c r="E107" i="1"/>
  <c r="E82" i="1"/>
  <c r="E100" i="1"/>
  <c r="I68" i="1"/>
  <c r="E98" i="1"/>
  <c r="I166" i="1"/>
  <c r="I143" i="1"/>
  <c r="I67" i="1"/>
  <c r="E203" i="1"/>
  <c r="E183" i="1"/>
  <c r="E171" i="1"/>
  <c r="E23" i="1"/>
  <c r="I156" i="1"/>
  <c r="I39" i="1"/>
  <c r="E233" i="1"/>
  <c r="E242" i="1"/>
  <c r="I159" i="1"/>
  <c r="E113" i="1"/>
  <c r="E204" i="1"/>
  <c r="I42" i="1"/>
  <c r="E108" i="1"/>
  <c r="I173" i="1"/>
  <c r="I187" i="1"/>
  <c r="E115" i="1"/>
  <c r="I121" i="1"/>
  <c r="I142" i="1"/>
  <c r="E175" i="1"/>
  <c r="E72" i="1"/>
  <c r="E160" i="1"/>
  <c r="E170" i="1"/>
  <c r="I234" i="1"/>
  <c r="E224" i="1"/>
  <c r="I111" i="1"/>
  <c r="E13" i="1"/>
  <c r="E120" i="1"/>
  <c r="E136" i="1"/>
  <c r="E26" i="1"/>
  <c r="E127" i="1"/>
  <c r="I214" i="1"/>
  <c r="E45" i="1"/>
  <c r="I99" i="1"/>
  <c r="E237" i="1"/>
  <c r="I235" i="1"/>
  <c r="E200" i="1"/>
  <c r="E172" i="1"/>
  <c r="I106" i="1"/>
  <c r="E97" i="1"/>
  <c r="E199" i="1"/>
  <c r="I128" i="1"/>
  <c r="I30" i="1"/>
  <c r="E54" i="1"/>
  <c r="I198" i="1"/>
  <c r="E214" i="1"/>
  <c r="I151" i="1"/>
  <c r="I208" i="1"/>
  <c r="E111" i="1"/>
  <c r="E241" i="1"/>
  <c r="I94" i="1"/>
  <c r="I180" i="1"/>
  <c r="I191" i="1"/>
  <c r="I140" i="1"/>
  <c r="E226" i="1"/>
  <c r="E44" i="1"/>
  <c r="E195" i="1"/>
  <c r="E103" i="1"/>
  <c r="E198" i="1"/>
  <c r="I164" i="1"/>
  <c r="I49" i="1"/>
  <c r="I190" i="1"/>
  <c r="I28" i="1"/>
  <c r="E210" i="1"/>
  <c r="E180" i="1"/>
  <c r="E36" i="1"/>
  <c r="E106" i="1"/>
  <c r="I70" i="1"/>
  <c r="E190" i="1"/>
  <c r="E32" i="1"/>
  <c r="E12" i="1"/>
  <c r="E141" i="1"/>
  <c r="I44" i="1"/>
  <c r="I101" i="1"/>
  <c r="E177" i="1"/>
  <c r="I148" i="1"/>
  <c r="E68" i="1"/>
  <c r="I231" i="1"/>
  <c r="I32" i="1"/>
  <c r="E18" i="1"/>
  <c r="E94" i="1"/>
  <c r="E81" i="1"/>
  <c r="I110" i="1"/>
  <c r="I63" i="1"/>
  <c r="E193" i="1"/>
  <c r="I241" i="1"/>
  <c r="I171" i="1"/>
  <c r="I203" i="1"/>
  <c r="E109" i="1"/>
  <c r="I215" i="1"/>
  <c r="E112" i="1"/>
  <c r="I11" i="1"/>
  <c r="E182" i="1"/>
  <c r="E101" i="1"/>
  <c r="I194" i="1"/>
  <c r="E48" i="1"/>
  <c r="E40" i="1"/>
  <c r="E225" i="1"/>
  <c r="I48" i="1"/>
  <c r="E221" i="1"/>
  <c r="E186" i="1"/>
  <c r="I170" i="1"/>
  <c r="E58" i="1"/>
  <c r="I199" i="1"/>
  <c r="I138" i="1"/>
  <c r="E134" i="1"/>
  <c r="I120" i="1"/>
  <c r="E41" i="1"/>
  <c r="I105" i="1"/>
  <c r="E144" i="1"/>
  <c r="I220" i="1"/>
  <c r="I147" i="1"/>
  <c r="E168" i="1"/>
  <c r="I204" i="1"/>
  <c r="I182" i="1"/>
  <c r="I213" i="1"/>
  <c r="E146" i="1"/>
  <c r="E173" i="1"/>
  <c r="I21" i="1"/>
  <c r="I91" i="1"/>
  <c r="E53" i="1"/>
  <c r="I154" i="1"/>
  <c r="E147" i="1"/>
  <c r="I233" i="1"/>
  <c r="I232" i="1"/>
  <c r="E11" i="1"/>
  <c r="I19" i="1"/>
  <c r="E202" i="1"/>
  <c r="E238" i="1"/>
  <c r="E22" i="1"/>
  <c r="I65" i="1"/>
  <c r="E197" i="1"/>
  <c r="I206" i="1"/>
  <c r="E228" i="1"/>
  <c r="I223" i="1"/>
  <c r="I134" i="1"/>
  <c r="I57" i="1"/>
  <c r="E235" i="1"/>
  <c r="I104" i="1"/>
  <c r="E188" i="1"/>
  <c r="I240" i="1"/>
  <c r="I189" i="1"/>
  <c r="I72" i="1"/>
  <c r="I93" i="1"/>
  <c r="I95" i="1"/>
  <c r="I82" i="1"/>
  <c r="I50" i="1"/>
  <c r="I113" i="1"/>
  <c r="E90" i="1"/>
  <c r="I75" i="1"/>
  <c r="E24" i="1"/>
  <c r="E154" i="1"/>
  <c r="I10" i="1"/>
  <c r="B245" i="1"/>
  <c r="E179" i="1"/>
  <c r="E55" i="1"/>
  <c r="E216" i="1"/>
  <c r="I47" i="1"/>
  <c r="E95" i="1"/>
  <c r="I86" i="1"/>
  <c r="I18" i="1"/>
  <c r="I227" i="1"/>
  <c r="I79" i="1"/>
  <c r="I43" i="1"/>
  <c r="E91" i="1"/>
  <c r="E92" i="1"/>
  <c r="E189" i="1"/>
  <c r="I205" i="1"/>
  <c r="I195" i="1"/>
  <c r="I26" i="1"/>
  <c r="E158" i="1"/>
  <c r="I124" i="1"/>
  <c r="E87" i="1"/>
  <c r="I119" i="1"/>
  <c r="I133" i="1"/>
  <c r="I76" i="1"/>
  <c r="E231" i="1"/>
  <c r="I45" i="1"/>
  <c r="I141" i="1"/>
  <c r="I193" i="1"/>
  <c r="I167" i="1"/>
  <c r="I139" i="1"/>
  <c r="I201" i="1"/>
  <c r="E105" i="1"/>
  <c r="I103" i="1"/>
  <c r="I97" i="1"/>
  <c r="E217" i="1"/>
  <c r="I46" i="1"/>
  <c r="E211" i="1"/>
  <c r="E156" i="1"/>
  <c r="E229" i="1"/>
  <c r="E176" i="1"/>
  <c r="I89" i="1"/>
  <c r="E104" i="1"/>
  <c r="I90" i="1"/>
  <c r="E137" i="1"/>
  <c r="I174" i="1"/>
  <c r="E42" i="1"/>
  <c r="I172" i="1"/>
  <c r="I36" i="1"/>
  <c r="E162" i="1"/>
  <c r="E93" i="1"/>
  <c r="I197" i="1"/>
  <c r="E126" i="1"/>
  <c r="I84" i="1"/>
  <c r="I112" i="1"/>
  <c r="E167" i="1"/>
  <c r="I24" i="1"/>
  <c r="E145" i="1"/>
  <c r="E110" i="1"/>
  <c r="E28" i="1"/>
  <c r="E39" i="1"/>
  <c r="I14" i="1"/>
  <c r="I210" i="1"/>
  <c r="E142" i="1"/>
  <c r="E34" i="1"/>
  <c r="E102" i="1"/>
  <c r="I225" i="1"/>
  <c r="I242" i="1"/>
  <c r="E163" i="1"/>
  <c r="I160" i="1"/>
  <c r="I239" i="1"/>
  <c r="E77" i="1"/>
  <c r="E50" i="1"/>
  <c r="E148" i="1"/>
  <c r="E143" i="1"/>
  <c r="I38" i="1"/>
  <c r="I64" i="1"/>
  <c r="E240" i="1"/>
  <c r="I54" i="1"/>
  <c r="E191" i="1"/>
  <c r="I155" i="1"/>
  <c r="I81" i="1"/>
  <c r="E215" i="1"/>
  <c r="I116" i="1"/>
  <c r="E78" i="1"/>
  <c r="I71" i="1"/>
  <c r="I85" i="1"/>
  <c r="E239" i="1"/>
  <c r="E35" i="1"/>
  <c r="I158" i="1"/>
  <c r="E43" i="1"/>
  <c r="I20" i="1"/>
  <c r="E184" i="1"/>
  <c r="I200" i="1"/>
  <c r="I181" i="1"/>
  <c r="I207" i="1"/>
  <c r="E138" i="1"/>
  <c r="E75" i="1"/>
  <c r="E130" i="1"/>
  <c r="I73" i="1"/>
  <c r="E131" i="1"/>
  <c r="E86" i="1"/>
  <c r="E208" i="1"/>
  <c r="I186" i="1"/>
  <c r="E27" i="1"/>
  <c r="E139" i="1"/>
  <c r="E165" i="1"/>
  <c r="E37" i="1"/>
  <c r="E17" i="1"/>
  <c r="E166" i="1"/>
  <c r="I229" i="1"/>
  <c r="I196" i="1"/>
  <c r="I87" i="1"/>
  <c r="I17" i="1"/>
  <c r="I149" i="1"/>
  <c r="E205" i="1"/>
  <c r="E206" i="1"/>
  <c r="I163" i="1"/>
  <c r="I55" i="1"/>
  <c r="E57" i="1"/>
  <c r="I222" i="1"/>
  <c r="I211" i="1"/>
  <c r="E212" i="1"/>
  <c r="E64" i="1"/>
  <c r="I126" i="1"/>
  <c r="E84" i="1"/>
  <c r="I15" i="1"/>
  <c r="I40" i="1"/>
  <c r="I29" i="1"/>
  <c r="I127" i="1"/>
  <c r="I115" i="1"/>
  <c r="E129" i="1"/>
  <c r="I221" i="1"/>
  <c r="I12" i="1"/>
  <c r="I237" i="1"/>
  <c r="E85" i="1"/>
  <c r="I114" i="1"/>
  <c r="I66" i="1"/>
  <c r="I41" i="1"/>
  <c r="E135" i="1"/>
  <c r="E52" i="1"/>
  <c r="E218" i="1"/>
  <c r="E152" i="1"/>
  <c r="E124" i="1"/>
  <c r="I60" i="1"/>
  <c r="E79" i="1"/>
  <c r="I78" i="1"/>
  <c r="E89" i="1"/>
  <c r="E222" i="1"/>
  <c r="I236" i="1"/>
  <c r="D245" i="1"/>
  <c r="I152" i="1"/>
  <c r="E31" i="1"/>
  <c r="I13" i="1"/>
  <c r="I56" i="1"/>
  <c r="I129" i="1"/>
  <c r="E47" i="1"/>
  <c r="E118" i="1"/>
  <c r="E99" i="1"/>
  <c r="E196" i="1"/>
  <c r="E151" i="1"/>
  <c r="I184" i="1"/>
  <c r="I183" i="1"/>
  <c r="E70" i="1"/>
  <c r="E213" i="1"/>
  <c r="E155" i="1"/>
  <c r="E20" i="1"/>
  <c r="I230" i="1"/>
  <c r="I96" i="1"/>
  <c r="E114" i="1"/>
  <c r="I123" i="1"/>
  <c r="I58" i="1"/>
  <c r="I209" i="1"/>
  <c r="E46" i="1"/>
  <c r="I226" i="1"/>
  <c r="I108" i="1"/>
  <c r="E60" i="1"/>
  <c r="E38" i="1"/>
  <c r="E150" i="1"/>
  <c r="I117" i="1"/>
  <c r="E56" i="1"/>
  <c r="E15" i="1"/>
  <c r="E128" i="1"/>
  <c r="E230" i="1"/>
  <c r="E164" i="1"/>
  <c r="I102" i="1"/>
  <c r="I27" i="1"/>
  <c r="E123" i="1"/>
  <c r="E63" i="1"/>
  <c r="E187" i="1"/>
  <c r="E243" i="1"/>
  <c r="E149" i="1"/>
  <c r="I168" i="1"/>
  <c r="E65" i="1"/>
  <c r="E209" i="1"/>
  <c r="E121" i="1"/>
  <c r="I228" i="1"/>
  <c r="I61" i="1"/>
  <c r="I118" i="1"/>
  <c r="I33" i="1"/>
  <c r="I122" i="1"/>
  <c r="I219" i="1"/>
  <c r="I16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<sst xmlns="http://schemas.openxmlformats.org/spreadsheetml/2006/main" count="1050" uniqueCount="350">
  <si>
    <t>Source spreadsheet name (master):</t>
  </si>
  <si>
    <t>Source spreadsheet name (mistress):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</si>
  <si>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</si>
  <si>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</si>
  <si>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</si>
  <si>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</si>
  <si>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</si>
  <si>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</si>
  <si>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</si>
  <si>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</si>
  <si>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</si>
  <si>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</si>
  <si>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</si>
  <si>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</si>
  <si>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</si>
  <si>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</si>
  <si>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</si>
  <si>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</si>
  <si>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</si>
  <si>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</si>
  <si>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</si>
  <si>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</si>
  <si>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</si>
  <si>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</si>
  <si>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</si>
  <si>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</si>
  <si>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</si>
  <si>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</si>
  <si>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</si>
  <si>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</si>
  <si>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Brazil</t>
  </si>
  <si>
    <t>British Virgin Islands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</si>
  <si>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</si>
  <si>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</si>
  <si>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</si>
  <si>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</si>
  <si>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</si>
  <si>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</si>
  <si>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</si>
  <si>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</si>
  <si>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</si>
  <si>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</si>
  <si>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</si>
  <si>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</si>
  <si>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</si>
  <si>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</si>
  <si>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</si>
  <si>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</si>
  <si>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</si>
  <si>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</si>
  <si>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</si>
  <si>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</si>
  <si>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</si>
  <si>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</si>
  <si>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</si>
  <si>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</si>
  <si>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Democratic People's Republic Of Korea</t>
  </si>
  <si>
    <t>Democratic Republic Of The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</si>
  <si>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</si>
  <si>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</si>
  <si>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</si>
  <si>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</si>
  <si>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</si>
  <si>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</si>
  <si>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</si>
  <si>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</si>
  <si>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</si>
  <si>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</si>
  <si>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</si>
  <si>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</si>
  <si>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(Malvinas)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</si>
  <si>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</si>
  <si>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</si>
  <si>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</si>
  <si>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</si>
  <si>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</si>
  <si>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</si>
  <si>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</si>
  <si>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</si>
  <si>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</si>
  <si>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</si>
  <si>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</si>
  <si>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</si>
  <si>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</si>
  <si>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</si>
  <si>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</si>
  <si>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</si>
  <si>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</si>
  <si>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</si>
  <si>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</si>
  <si>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</si>
  <si>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</si>
  <si>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</si>
  <si>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</si>
  <si>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</si>
  <si>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</si>
  <si>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</si>
  <si>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</si>
  <si>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</si>
  <si>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</si>
  <si>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</si>
  <si>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</si>
  <si>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</si>
  <si>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</si>
  <si>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</si>
  <si>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</si>
  <si>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</si>
  <si>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</si>
  <si>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</si>
  <si>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</si>
  <si>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</si>
  <si>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</si>
  <si>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</si>
  <si>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</si>
  <si>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</si>
  <si>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</si>
  <si>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</si>
  <si>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</si>
  <si>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</si>
  <si>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</si>
  <si>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</si>
  <si>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</si>
  <si>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</si>
  <si>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</si>
  <si>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</si>
  <si>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</si>
  <si>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</si>
  <si>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</si>
  <si>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</si>
  <si>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</si>
  <si>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</si>
  <si>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</si>
  <si>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</si>
  <si>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</si>
  <si>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</si>
  <si>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</si>
  <si>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</si>
  <si>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</si>
  <si>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</si>
  <si>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</si>
  <si>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</si>
  <si>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</si>
  <si>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</si>
  <si>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</si>
  <si>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</si>
  <si>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</si>
  <si>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</si>
  <si>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</si>
  <si>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</si>
  <si>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</si>
  <si>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</si>
  <si>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</si>
  <si>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</si>
  <si>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</si>
  <si>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</si>
  <si>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</si>
  <si>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</si>
  <si>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</si>
  <si>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</si>
  <si>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</si>
  <si>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</si>
  <si>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</si>
  <si>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</si>
  <si>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</si>
  <si>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</si>
  <si>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Korea</t>
  </si>
  <si>
    <t>Republic Of Moldova</t>
  </si>
  <si>
    <t>Reunion</t>
  </si>
  <si>
    <t>Romania</t>
  </si>
  <si>
    <t>Russian Federation</t>
  </si>
  <si>
    <t>Rwanda</t>
  </si>
  <si>
    <t>Saint Barthelemy</t>
  </si>
  <si>
    <t>Saint Kitts And Nevis</t>
  </si>
  <si>
    <t>Saint Lucia</t>
  </si>
  <si>
    <t>Saint Martin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</si>
  <si>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</si>
  <si>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</si>
  <si>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</si>
  <si>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</si>
  <si>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</si>
  <si>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</si>
  <si>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</si>
  <si>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</si>
  <si>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</si>
  <si>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</si>
  <si>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</si>
  <si>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</si>
  <si>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</si>
  <si>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</si>
  <si>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</si>
  <si>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</si>
  <si>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</si>
  <si>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</si>
  <si>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</si>
  <si>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</si>
  <si>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Suriname</t>
  </si>
  <si>
    <t>Sweden</t>
  </si>
  <si>
    <t>Switzerland</t>
  </si>
  <si>
    <t>Syrian Arab Republic</t>
  </si>
  <si>
    <t>Tajikistan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</si>
  <si>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</si>
  <si>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</si>
  <si>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</si>
  <si>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</si>
  <si>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</si>
  <si>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</si>
  <si>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</si>
  <si>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</si>
  <si>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</si>
  <si>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</si>
  <si>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</si>
  <si>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</si>
  <si>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</si>
  <si>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 Of Great Britain And Northern Ireland</t>
  </si>
  <si>
    <t>United Republic Of Tanzania</t>
  </si>
  <si>
    <t>United States Virgin Islands</t>
  </si>
  <si>
    <t>Uruguay</t>
  </si>
  <si>
    <t>Uzbekistan</t>
  </si>
  <si>
    <t>Vanuatu</t>
  </si>
  <si>
    <t>Venezuela, Bolivarian Republic Of</t>
  </si>
  <si>
    <t>Viet Nam</t>
  </si>
  <si>
    <t>Yemen</t>
  </si>
  <si>
    <t>Zambia</t>
  </si>
  <si>
    <t>Zimbabwe</t>
  </si>
  <si>
    <t>Country</t>
  </si>
  <si>
    <t>total # records</t>
  </si>
  <si>
    <t>sequenced</t>
  </si>
  <si>
    <t>Records from previous weeks</t>
  </si>
  <si>
    <t>total # new records</t>
  </si>
  <si>
    <t>PRE-VOLUNTEER CLEANSING</t>
  </si>
  <si>
    <t>Total # records</t>
  </si>
  <si>
    <t># records to be cleansed by volunteers</t>
  </si>
  <si>
    <t>Number of countries this week:</t>
  </si>
  <si>
    <t>POST-VOLUNTEER CLEANSING</t>
  </si>
  <si>
    <t>Do pre and post cleansing totals match?</t>
  </si>
  <si>
    <t>Northern Mariana Islands, Commonwealth Of The</t>
  </si>
  <si>
    <t>Number of countries listed below:</t>
  </si>
  <si>
    <t># records where who_id needs updating</t>
  </si>
  <si>
    <t># records where measure_stage is blank</t>
  </si>
  <si>
    <t>Checks for highlighting</t>
  </si>
  <si>
    <t>Faroe Islands</t>
  </si>
  <si>
    <t>Martinique</t>
  </si>
  <si>
    <t>United States Of America</t>
  </si>
  <si>
    <t>Hardcoded totals</t>
  </si>
  <si>
    <t>Saint Helena</t>
  </si>
  <si>
    <t>not_cleansed</t>
  </si>
  <si>
    <t>Extracted records (# records where who_code = 8.2, 8.3, 8.4, 8.4.1, 8.4.2, 8.5, 10, 11, 12, 13)</t>
  </si>
  <si>
    <t>Wallis And Futuna</t>
  </si>
  <si>
    <t>No</t>
  </si>
  <si>
    <t>Yes</t>
  </si>
  <si>
    <t xml:space="preserve">Ruth Weissenborn </t>
  </si>
  <si>
    <t>yes</t>
  </si>
  <si>
    <t>Sandy Ma</t>
  </si>
  <si>
    <t>Hermione Lovel</t>
  </si>
  <si>
    <t>Orlagh Quinn</t>
  </si>
  <si>
    <t>Lisa Owen</t>
  </si>
  <si>
    <t>Jenny Rodger</t>
  </si>
  <si>
    <t>Milli Nath-Chowdhury</t>
  </si>
  <si>
    <t>no</t>
  </si>
  <si>
    <t>Kamaryn Tanner</t>
  </si>
  <si>
    <t>IRADUKUNDA Gad Patrick</t>
  </si>
  <si>
    <t xml:space="preserve">Elena Gomez </t>
  </si>
  <si>
    <t>Suvi Harmala</t>
  </si>
  <si>
    <t>Rebecca Schuller</t>
  </si>
  <si>
    <t>arielle.clemens</t>
  </si>
  <si>
    <t>drarora.anu</t>
  </si>
  <si>
    <t>Leo</t>
  </si>
  <si>
    <t>Lois Tait</t>
  </si>
  <si>
    <t>Sandra Meadow</t>
  </si>
  <si>
    <t>Katherine Reinbach</t>
  </si>
  <si>
    <t>Tallulah Grant-Maidment</t>
  </si>
  <si>
    <t>Grace Gysin</t>
  </si>
  <si>
    <t>Rebecca Garrett</t>
  </si>
  <si>
    <t>Miriam Nandi</t>
  </si>
  <si>
    <t>Gael McAlpine</t>
  </si>
  <si>
    <t>Helena.goldon</t>
  </si>
  <si>
    <t>Nancy Kamal</t>
  </si>
  <si>
    <t>Saubt Martin</t>
  </si>
  <si>
    <t>Alison Barber</t>
  </si>
  <si>
    <t>Fong Yi Fanny Tang</t>
  </si>
  <si>
    <t>Ruth</t>
  </si>
  <si>
    <t>Bonaire</t>
  </si>
  <si>
    <t>Kosovo</t>
  </si>
  <si>
    <t>Mayotte</t>
  </si>
  <si>
    <t>Saba</t>
  </si>
  <si>
    <t>Saint Pierre and Miquelon</t>
  </si>
  <si>
    <t>Sint Eustatius</t>
  </si>
  <si>
    <t xml:space="preserve"> Plurinational State Of.xlsx</t>
  </si>
  <si>
    <t xml:space="preserve"> Islamic Republic Of.xlsx</t>
  </si>
  <si>
    <t>291 Oman.xlsx</t>
  </si>
  <si>
    <t>780 Pakistan.xlsx</t>
  </si>
  <si>
    <t>132 Panama.xlsx</t>
  </si>
  <si>
    <t>589 Papua New Guinea.xlsx</t>
  </si>
  <si>
    <t>229 Paraguay.xlsx</t>
  </si>
  <si>
    <t>312 Philippines.xlsx</t>
  </si>
  <si>
    <t>543 Poland.xlsx</t>
  </si>
  <si>
    <t>864 Portugal.xlsx</t>
  </si>
  <si>
    <t>291 Puerto Rico.xlsx</t>
  </si>
  <si>
    <t>573 Qatar.xlsx</t>
  </si>
  <si>
    <t>511 Republic Of Korea.xlsx</t>
  </si>
  <si>
    <t>842 Republic Of Moldova.xlsx</t>
  </si>
  <si>
    <t>456 Romania.xlsx</t>
  </si>
  <si>
    <t>365 Russian Federation.xlsx</t>
  </si>
  <si>
    <t>188 Rwanda.xlsx</t>
  </si>
  <si>
    <t>545 San Marino.xlsx</t>
  </si>
  <si>
    <t>294 Saudi Arabia.xlsx</t>
  </si>
  <si>
    <t>112 Serbia.xlsx</t>
  </si>
  <si>
    <t>417 Seychelles.xlsx</t>
  </si>
  <si>
    <t>040 Sierra Leone.xlsx</t>
  </si>
  <si>
    <t>232 Singapore.xlsx</t>
  </si>
  <si>
    <t>795 Slovakia.xlsx</t>
  </si>
  <si>
    <t>024 Slovenia.xlsx</t>
  </si>
  <si>
    <t>845 Solomon Islands.xlsx</t>
  </si>
  <si>
    <t>629 South Sudan.xlsx</t>
  </si>
  <si>
    <t>735 Spain.xlsx</t>
  </si>
  <si>
    <t>023 Sri Lanka.xlsx</t>
  </si>
  <si>
    <t>721 Suriname.xlsx</t>
  </si>
  <si>
    <t>398 Sweden.xlsx</t>
  </si>
  <si>
    <t>220 Switzerland.xlsx</t>
  </si>
  <si>
    <t>210 Syrian Arab Republic.xlsx</t>
  </si>
  <si>
    <t>924 Tajikistan.xlsx</t>
  </si>
  <si>
    <t>604 Thailand.xlsx</t>
  </si>
  <si>
    <t>467 Timor-Leste.xlsx</t>
  </si>
  <si>
    <t>909 Togo.xlsx</t>
  </si>
  <si>
    <t>701 Turkey.xlsx</t>
  </si>
  <si>
    <t>534 Turkmenistan.xlsx</t>
  </si>
  <si>
    <t>445 Uganda.xlsx</t>
  </si>
  <si>
    <t>286 Ukraine.xlsx</t>
  </si>
  <si>
    <t>325 United Arab Emirates.xlsx</t>
  </si>
  <si>
    <t>115 United Kingdom Of Great Britain And Northern Ireland.xlsx</t>
  </si>
  <si>
    <t>302 United Republic Of Tanzania.xlsx</t>
  </si>
  <si>
    <t>724 United States Of America.xlsx</t>
  </si>
  <si>
    <t>906 Uruguay.xlsx</t>
  </si>
  <si>
    <t>478 Uzbekistan.xlsx</t>
  </si>
  <si>
    <t>000 Venezuela</t>
  </si>
  <si>
    <t xml:space="preserve"> Bolivarian Republic Of.xlsx</t>
  </si>
  <si>
    <t>320 Yemen.xlsx</t>
  </si>
  <si>
    <t>168 Zambia.xlsx</t>
  </si>
  <si>
    <t>858 Zimbabwe.xlsx</t>
  </si>
  <si>
    <t>country_territory_area</t>
  </si>
  <si>
    <t>Requested</t>
  </si>
  <si>
    <t>Name (first)</t>
  </si>
  <si>
    <t>Coding Team</t>
  </si>
  <si>
    <t>Alexandra Quiñones</t>
  </si>
  <si>
    <t>Andrea Richards</t>
  </si>
  <si>
    <t>Hajinal</t>
  </si>
  <si>
    <t>Wallis and Futuna</t>
  </si>
  <si>
    <t>mistress_latest</t>
  </si>
  <si>
    <t>Occupied Palestinian Territory, Including East Jerusalem</t>
  </si>
  <si>
    <t>master_volunteerEURO_2022_08_23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</si>
</sst>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521B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7B5FF"/>
        <bgColor rgb="FF000000"/>
      </patternFill>
    </fill>
    <fill>
      <patternFill patternType="solid">
        <fgColor rgb="FFD9D9D9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7" fillId="0" borderId="0"/>
  </cellStyleXfs>
  <cellXfs count="34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0" xfId="0" applyFont="1"/>
    <xf numFmtId="0" fontId="2" fillId="0" borderId="1" xfId="0" applyFont="1" applyBorder="1"/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3" xfId="0" applyBorder="1"/>
    <xf numFmtId="0" fontId="0" fillId="0" borderId="4" xfId="0" applyBorder="1"/>
    <xf numFmtId="0" fontId="2" fillId="0" borderId="0" xfId="0" applyFont="1" applyBorder="1" applyAlignment="1">
      <alignment wrapText="1"/>
    </xf>
    <xf numFmtId="0" fontId="3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6" xfId="0" applyBorder="1"/>
    <xf numFmtId="0" fontId="0" fillId="0" borderId="0" xfId="0" applyAlignment="1">
      <alignment horizontal="left" wrapText="1"/>
    </xf>
    <xf numFmtId="0" fontId="5" fillId="0" borderId="0" xfId="0" applyFont="1" applyAlignment="1">
      <alignment horizontal="left" wrapText="1"/>
    </xf>
    <xf numFmtId="0" fontId="0" fillId="2" borderId="0" xfId="0" applyFill="1"/>
    <xf numFmtId="0" fontId="1" fillId="0" borderId="0" xfId="0" applyFont="1"/>
    <xf numFmtId="0" fontId="6" fillId="0" borderId="0" xfId="0" applyFont="1"/>
    <xf numFmtId="0" fontId="6" fillId="4" borderId="7" xfId="0" applyFont="1" applyFill="1" applyBorder="1" applyAlignment="1">
      <alignment horizontal="left"/>
    </xf>
    <xf numFmtId="0" fontId="6" fillId="4" borderId="7" xfId="0" applyFont="1" applyFill="1" applyBorder="1" applyAlignment="1">
      <alignment horizontal="center" wrapText="1"/>
    </xf>
    <xf numFmtId="0" fontId="6" fillId="4" borderId="7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/>
    </xf>
    <xf numFmtId="0" fontId="8" fillId="3" borderId="0" xfId="0" applyFont="1" applyFill="1" applyAlignment="1">
      <alignment horizontal="center"/>
    </xf>
    <xf numFmtId="0" fontId="6" fillId="0" borderId="0" xfId="0" applyFont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7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45"/>
  <sheetViews>
    <sheetView tabSelected="1" workbookViewId="0">
      <pane xSplit="1" ySplit="9" topLeftCell="B220" activePane="bottomRight" state="frozen"/>
      <selection pane="topRight" activeCell="B1" sqref="B1"/>
      <selection pane="bottomLeft" activeCell="A12" sqref="A12"/>
      <selection pane="bottomRight" activeCell="B1" sqref="B1"/>
    </sheetView>
  </sheetViews>
  <sheetFormatPr defaultColWidth="8.85546875" defaultRowHeight="15" x14ac:dyDescent="0.25"/>
  <cols>
    <col min="1" max="1" width="29.42578125" customWidth="1"/>
    <col min="9" max="9" width="13.140625" customWidth="1"/>
  </cols>
  <sheetData>
    <row r="1" spans="1:17" ht="14.45" x14ac:dyDescent="0.3">
      <c r="A1" s="3" t="s">
        <v>0</v>
      </c>
      <c r="B1" s="19" t="s">
        <v>349</v>
      </c>
    </row>
    <row r="2" spans="1:17" ht="14.45" x14ac:dyDescent="0.3">
      <c r="A2" s="3" t="s">
        <v>1</v>
      </c>
      <c r="B2" s="19" t="s">
        <v>347</v>
      </c>
    </row>
    <row r="3" spans="1:17" ht="10.35" customHeight="1" x14ac:dyDescent="0.3"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2"/>
      <c r="Q3" s="2"/>
    </row>
    <row r="4" spans="1:17" ht="14.45" x14ac:dyDescent="0.3">
      <c r="A4" t="s">
        <v>232</v>
      </c>
      <c r="B4" s="10">
        <f ca="1">COUNTA(_xlfn.UNIQUE(INDIRECT("'[" &amp; $B$1 &amp; ".xlsm]data'!$I:$I"), FALSE, FALSE))-2</f>
        <v>-1</v>
      </c>
      <c r="D4" s="17"/>
      <c r="E4" s="17"/>
      <c r="F4" s="17"/>
      <c r="G4" s="17"/>
      <c r="H4" s="17"/>
      <c r="I4" s="17"/>
      <c r="J4" s="17"/>
      <c r="K4" s="17"/>
      <c r="M4" s="17"/>
      <c r="N4" s="17"/>
      <c r="O4" s="17"/>
      <c r="P4" s="2"/>
      <c r="Q4" s="2"/>
    </row>
    <row r="5" spans="1:17" ht="14.45" x14ac:dyDescent="0.3">
      <c r="A5" t="s">
        <v>236</v>
      </c>
      <c r="B5">
        <f>COUNTA(A10:A498)</f>
        <v>234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2"/>
      <c r="Q5" s="2"/>
    </row>
    <row r="7" spans="1:17" ht="14.45" x14ac:dyDescent="0.3">
      <c r="B7" s="31" t="s">
        <v>229</v>
      </c>
      <c r="C7" s="32"/>
      <c r="D7" s="33"/>
      <c r="E7" s="4" t="s">
        <v>239</v>
      </c>
      <c r="F7" s="5"/>
      <c r="G7" s="31" t="s">
        <v>233</v>
      </c>
      <c r="H7" s="32"/>
      <c r="I7" s="33"/>
    </row>
    <row r="8" spans="1:17" s="2" customFormat="1" ht="22.5" hidden="1" x14ac:dyDescent="0.3">
      <c r="A8" s="1"/>
      <c r="B8" s="8"/>
      <c r="C8" s="12" t="s">
        <v>226</v>
      </c>
      <c r="D8" s="12" t="s">
        <v>245</v>
      </c>
      <c r="E8" s="6"/>
      <c r="F8" s="7"/>
      <c r="G8" s="6"/>
      <c r="H8" s="14"/>
      <c r="I8" s="7"/>
    </row>
    <row r="9" spans="1:17" s="2" customFormat="1" ht="64.150000000000006" customHeight="1" x14ac:dyDescent="0.3">
      <c r="A9" s="1" t="s">
        <v>224</v>
      </c>
      <c r="B9" s="8" t="s">
        <v>225</v>
      </c>
      <c r="C9" s="12" t="s">
        <v>227</v>
      </c>
      <c r="D9" s="9" t="s">
        <v>228</v>
      </c>
      <c r="E9" s="8" t="s">
        <v>237</v>
      </c>
      <c r="F9" s="9" t="s">
        <v>238</v>
      </c>
      <c r="G9" s="8" t="s">
        <v>225</v>
      </c>
      <c r="H9" s="14"/>
      <c r="I9" s="9" t="s">
        <v>234</v>
      </c>
    </row>
    <row r="10" spans="1:17" x14ac:dyDescent="0.25">
      <c r="A10" t="s">
        <v>2</v>
      </c>
      <c r="B10" s="10" t="e">
        <f ca="1">COUNTIF(INDIRECT("'[" &amp; $B$1 &amp; ".xlsm]data'!$I:$I"), $A10)</f>
        <v>#REF!</v>
      </c>
      <c r="C10" s="13" t="e">
        <f ca="1">COUNTIFS(INDIRECT("'[" &amp; $B$1 &amp; ".xlsm]data'!$I:$I"), $A10,(INDIRECT("'[" &amp; $B$1 &amp; ".xlsm]data'!$A:$A")), C$8)</f>
        <v>#REF!</v>
      </c>
      <c r="D10" s="11" t="e">
        <f ca="1">COUNTIFS(INDIRECT("'[" &amp; $B$1 &amp; ".xlsm]data'!$I:$I"), $A10,(INDIRECT("'[" &amp; $B$1 &amp; ".xlsm]data'!$A:$A")), D$8)</f>
        <v>#REF!</v>
      </c>
      <c r="E10" s="10" t="e" cm="1">
        <f t="array" aca="1" ref="E10" ca="1">SUM(COUNTIFS(INDIRECT("'[" &amp; $B$1 &amp; ".xlsm]data'!$H$2:$H" &amp; (COUNTA(INDIRECT("'[" &amp; $B$1 &amp; ".xlsm]data'!$H:$H")))), $A10, INDIRECT("'[" &amp; $B$1 &amp; ".xlsm]data'!$P$2:$P" &amp; (COUNTA(INDIRECT("'[" &amp; $B$1 &amp; ".xlsm]data'!$P:$P")))), {1,2,3,3.1,3.2,4,4.1,4.2,4.3,4.4,4.5,5,6,7,8,8.4,9}))</f>
        <v>#REF!</v>
      </c>
      <c r="F10" s="10" t="e">
        <f t="shared" ref="F10:F73" ca="1" si="0">COUNTIFS(INDIRECT("[" &amp; $B$1 &amp; ".xlsm]data!$H:$H"), $A10, (INDIRECT("[" &amp; $B$1 &amp; ".xlsm]data!$V:$V")),"")</f>
        <v>#REF!</v>
      </c>
      <c r="G10" s="10" t="e">
        <f ca="1">COUNTIF(INDIRECT("'[" &amp; $B$2 &amp; ".xlsx]Sheet2'!" &amp; "$H:$H"), $A10)</f>
        <v>#REF!</v>
      </c>
      <c r="H10" s="15"/>
      <c r="I10" s="11" t="e">
        <f t="shared" ref="I10:I73" ca="1" si="1">IF(B10&lt;&gt;G10, "no", "yes")</f>
        <v>#REF!</v>
      </c>
    </row>
    <row r="11" spans="1:17" x14ac:dyDescent="0.25">
      <c r="A11" t="s">
        <v>3</v>
      </c>
      <c r="B11" s="10" t="e">
        <f t="shared" ref="B11:B74" ca="1" si="2">COUNTIF(INDIRECT("'[" &amp; $B$1 &amp; ".xlsm]data'!$I:$I"), $A11)</f>
        <v>#REF!</v>
      </c>
      <c r="C11" s="13" t="e">
        <f t="shared" ref="C11:D74" ca="1" si="3">COUNTIFS(INDIRECT("'[" &amp; $B$1 &amp; ".xlsm]data'!$I:$I"), $A11,(INDIRECT("'[" &amp; $B$1 &amp; ".xlsm]data'!$A:$A")), C$8)</f>
        <v>#REF!</v>
      </c>
      <c r="D11" s="11" t="e">
        <f t="shared" ca="1" si="3"/>
        <v>#REF!</v>
      </c>
      <c r="E11" s="10" t="e" cm="1">
        <f t="array" aca="1" ref="E11" ca="1">SUM(COUNTIFS(INDIRECT("'[" &amp; $B$1 &amp; ".xlsm]data'!$H$2:$H" &amp; (COUNTA(INDIRECT("'[" &amp; $B$1 &amp; ".xlsm]data'!$H:$H")))), $A11, INDIRECT("'[" &amp; $B$1 &amp; ".xlsm]data'!$P$2:$P" &amp; (COUNTA(INDIRECT("'[" &amp; $B$1 &amp; ".xlsm]data'!$P:$P")))), {1,2,3,3.1,3.2,4,4.1,4.2,4.3,4.4,4.5,5,6,7,8,8.4,9}))</f>
        <v>#REF!</v>
      </c>
      <c r="F11" s="10" t="e">
        <f t="shared" ca="1" si="0"/>
        <v>#REF!</v>
      </c>
      <c r="G11" s="10" t="e">
        <f t="shared" ref="G11:G74" ca="1" si="4">COUNTIF(INDIRECT("'[" &amp; $B$2 &amp; ".xlsx]Sheet2'!" &amp; "$H:$H"), $A11)</f>
        <v>#REF!</v>
      </c>
      <c r="H11" s="15"/>
      <c r="I11" s="11" t="e">
        <f t="shared" ca="1" si="1"/>
        <v>#REF!</v>
      </c>
    </row>
    <row r="12" spans="1:17" x14ac:dyDescent="0.25">
      <c r="A12" t="s">
        <v>4</v>
      </c>
      <c r="B12" s="10" t="e">
        <f t="shared" ca="1" si="2"/>
        <v>#REF!</v>
      </c>
      <c r="C12" s="13" t="e">
        <f t="shared" ca="1" si="3"/>
        <v>#REF!</v>
      </c>
      <c r="D12" s="11" t="e">
        <f t="shared" ca="1" si="3"/>
        <v>#REF!</v>
      </c>
      <c r="E12" s="10" t="e" cm="1">
        <f t="array" aca="1" ref="E12" ca="1">SUM(COUNTIFS(INDIRECT("'[" &amp; $B$1 &amp; ".xlsm]data'!$H$2:$H" &amp; (COUNTA(INDIRECT("'[" &amp; $B$1 &amp; ".xlsm]data'!$H:$H")))), $A12, INDIRECT("'[" &amp; $B$1 &amp; ".xlsm]data'!$P$2:$P" &amp; (COUNTA(INDIRECT("'[" &amp; $B$1 &amp; ".xlsm]data'!$P:$P")))), {1,2,3,3.1,3.2,4,4.1,4.2,4.3,4.4,4.5,5,6,7,8,8.4,9}))</f>
        <v>#REF!</v>
      </c>
      <c r="F12" s="10" t="e">
        <f t="shared" ca="1" si="0"/>
        <v>#REF!</v>
      </c>
      <c r="G12" s="10" t="e">
        <f t="shared" ca="1" si="4"/>
        <v>#REF!</v>
      </c>
      <c r="H12" s="15"/>
      <c r="I12" s="11" t="e">
        <f t="shared" ca="1" si="1"/>
        <v>#REF!</v>
      </c>
    </row>
    <row r="13" spans="1:17" x14ac:dyDescent="0.25">
      <c r="A13" t="s">
        <v>5</v>
      </c>
      <c r="B13" s="10" t="e">
        <f t="shared" ca="1" si="2"/>
        <v>#REF!</v>
      </c>
      <c r="C13" s="13" t="e">
        <f t="shared" ca="1" si="3"/>
        <v>#REF!</v>
      </c>
      <c r="D13" s="11" t="e">
        <f t="shared" ca="1" si="3"/>
        <v>#REF!</v>
      </c>
      <c r="E13" s="10" t="e" cm="1">
        <f t="array" aca="1" ref="E13" ca="1">SUM(COUNTIFS(INDIRECT("'[" &amp; $B$1 &amp; ".xlsm]data'!$H$2:$H" &amp; (COUNTA(INDIRECT("'[" &amp; $B$1 &amp; ".xlsm]data'!$H:$H")))), $A13, INDIRECT("'[" &amp; $B$1 &amp; ".xlsm]data'!$P$2:$P" &amp; (COUNTA(INDIRECT("'[" &amp; $B$1 &amp; ".xlsm]data'!$P:$P")))), {1,2,3,3.1,3.2,4,4.1,4.2,4.3,4.4,4.5,5,6,7,8,8.4,9}))</f>
        <v>#REF!</v>
      </c>
      <c r="F13" s="10" t="e">
        <f t="shared" ca="1" si="0"/>
        <v>#REF!</v>
      </c>
      <c r="G13" s="10" t="e">
        <f t="shared" ca="1" si="4"/>
        <v>#REF!</v>
      </c>
      <c r="H13" s="15"/>
      <c r="I13" s="11" t="e">
        <f t="shared" ca="1" si="1"/>
        <v>#REF!</v>
      </c>
    </row>
    <row r="14" spans="1:17" x14ac:dyDescent="0.25">
      <c r="A14" t="s">
        <v>6</v>
      </c>
      <c r="B14" s="10" t="e">
        <f t="shared" ca="1" si="2"/>
        <v>#REF!</v>
      </c>
      <c r="C14" s="13" t="e">
        <f t="shared" ca="1" si="3"/>
        <v>#REF!</v>
      </c>
      <c r="D14" s="11" t="e">
        <f t="shared" ca="1" si="3"/>
        <v>#REF!</v>
      </c>
      <c r="E14" s="10" t="e" cm="1">
        <f t="array" aca="1" ref="E14" ca="1">SUM(COUNTIFS(INDIRECT("'[" &amp; $B$1 &amp; ".xlsm]data'!$H$2:$H" &amp; (COUNTA(INDIRECT("'[" &amp; $B$1 &amp; ".xlsm]data'!$H:$H")))), $A14, INDIRECT("'[" &amp; $B$1 &amp; ".xlsm]data'!$P$2:$P" &amp; (COUNTA(INDIRECT("'[" &amp; $B$1 &amp; ".xlsm]data'!$P:$P")))), {1,2,3,3.1,3.2,4,4.1,4.2,4.3,4.4,4.5,5,6,7,8,8.4,9}))</f>
        <v>#REF!</v>
      </c>
      <c r="F14" s="10" t="e">
        <f t="shared" ca="1" si="0"/>
        <v>#REF!</v>
      </c>
      <c r="G14" s="10" t="e">
        <f t="shared" ca="1" si="4"/>
        <v>#REF!</v>
      </c>
      <c r="H14" s="15"/>
      <c r="I14" s="11" t="e">
        <f t="shared" ca="1" si="1"/>
        <v>#REF!</v>
      </c>
    </row>
    <row r="15" spans="1:17" x14ac:dyDescent="0.25">
      <c r="A15" t="s">
        <v>7</v>
      </c>
      <c r="B15" s="10" t="e">
        <f t="shared" ca="1" si="2"/>
        <v>#REF!</v>
      </c>
      <c r="C15" s="13" t="e">
        <f t="shared" ca="1" si="3"/>
        <v>#REF!</v>
      </c>
      <c r="D15" s="11" t="e">
        <f t="shared" ca="1" si="3"/>
        <v>#REF!</v>
      </c>
      <c r="E15" s="10" t="e" cm="1">
        <f t="array" aca="1" ref="E15" ca="1">SUM(COUNTIFS(INDIRECT("'[" &amp; $B$1 &amp; ".xlsm]data'!$H$2:$H" &amp; (COUNTA(INDIRECT("'[" &amp; $B$1 &amp; ".xlsm]data'!$H:$H")))), $A15, INDIRECT("'[" &amp; $B$1 &amp; ".xlsm]data'!$P$2:$P" &amp; (COUNTA(INDIRECT("'[" &amp; $B$1 &amp; ".xlsm]data'!$P:$P")))), {1,2,3,3.1,3.2,4,4.1,4.2,4.3,4.4,4.5,5,6,7,8,8.4,9}))</f>
        <v>#REF!</v>
      </c>
      <c r="F15" s="10" t="e">
        <f t="shared" ca="1" si="0"/>
        <v>#REF!</v>
      </c>
      <c r="G15" s="10" t="e">
        <f t="shared" ca="1" si="4"/>
        <v>#REF!</v>
      </c>
      <c r="H15" s="15"/>
      <c r="I15" s="11" t="e">
        <f t="shared" ca="1" si="1"/>
        <v>#REF!</v>
      </c>
    </row>
    <row r="16" spans="1:17" x14ac:dyDescent="0.25">
      <c r="A16" t="s">
        <v>8</v>
      </c>
      <c r="B16" s="10" t="e">
        <f t="shared" ca="1" si="2"/>
        <v>#REF!</v>
      </c>
      <c r="C16" s="13" t="e">
        <f t="shared" ca="1" si="3"/>
        <v>#REF!</v>
      </c>
      <c r="D16" s="11" t="e">
        <f t="shared" ca="1" si="3"/>
        <v>#REF!</v>
      </c>
      <c r="E16" s="10" t="e" cm="1">
        <f t="array" aca="1" ref="E16" ca="1">SUM(COUNTIFS(INDIRECT("'[" &amp; $B$1 &amp; ".xlsm]data'!$H$2:$H" &amp; (COUNTA(INDIRECT("'[" &amp; $B$1 &amp; ".xlsm]data'!$H:$H")))), $A16, INDIRECT("'[" &amp; $B$1 &amp; ".xlsm]data'!$P$2:$P" &amp; (COUNTA(INDIRECT("'[" &amp; $B$1 &amp; ".xlsm]data'!$P:$P")))), {1,2,3,3.1,3.2,4,4.1,4.2,4.3,4.4,4.5,5,6,7,8,8.4,9}))</f>
        <v>#REF!</v>
      </c>
      <c r="F16" s="10" t="e">
        <f t="shared" ca="1" si="0"/>
        <v>#REF!</v>
      </c>
      <c r="G16" s="10" t="e">
        <f t="shared" ca="1" si="4"/>
        <v>#REF!</v>
      </c>
      <c r="H16" s="15"/>
      <c r="I16" s="11" t="e">
        <f t="shared" ca="1" si="1"/>
        <v>#REF!</v>
      </c>
    </row>
    <row r="17" spans="1:9" x14ac:dyDescent="0.25">
      <c r="A17" t="s">
        <v>9</v>
      </c>
      <c r="B17" s="10" t="e">
        <f t="shared" ca="1" si="2"/>
        <v>#REF!</v>
      </c>
      <c r="C17" s="13" t="e">
        <f t="shared" ca="1" si="3"/>
        <v>#REF!</v>
      </c>
      <c r="D17" s="11" t="e">
        <f t="shared" ca="1" si="3"/>
        <v>#REF!</v>
      </c>
      <c r="E17" s="10" t="e" cm="1">
        <f t="array" aca="1" ref="E17" ca="1">SUM(COUNTIFS(INDIRECT("'[" &amp; $B$1 &amp; ".xlsm]data'!$H$2:$H" &amp; (COUNTA(INDIRECT("'[" &amp; $B$1 &amp; ".xlsm]data'!$H:$H")))), $A17, INDIRECT("'[" &amp; $B$1 &amp; ".xlsm]data'!$P$2:$P" &amp; (COUNTA(INDIRECT("'[" &amp; $B$1 &amp; ".xlsm]data'!$P:$P")))), {1,2,3,3.1,3.2,4,4.1,4.2,4.3,4.4,4.5,5,6,7,8,8.4,9}))</f>
        <v>#REF!</v>
      </c>
      <c r="F17" s="10" t="e">
        <f t="shared" ca="1" si="0"/>
        <v>#REF!</v>
      </c>
      <c r="G17" s="10" t="e">
        <f t="shared" ca="1" si="4"/>
        <v>#REF!</v>
      </c>
      <c r="H17" s="15"/>
      <c r="I17" s="11" t="e">
        <f t="shared" ca="1" si="1"/>
        <v>#REF!</v>
      </c>
    </row>
    <row r="18" spans="1:9" x14ac:dyDescent="0.25">
      <c r="A18" t="s">
        <v>10</v>
      </c>
      <c r="B18" s="10" t="e">
        <f t="shared" ca="1" si="2"/>
        <v>#REF!</v>
      </c>
      <c r="C18" s="13" t="e">
        <f t="shared" ca="1" si="3"/>
        <v>#REF!</v>
      </c>
      <c r="D18" s="11" t="e">
        <f t="shared" ca="1" si="3"/>
        <v>#REF!</v>
      </c>
      <c r="E18" s="10" t="e" cm="1">
        <f t="array" aca="1" ref="E18" ca="1">SUM(COUNTIFS(INDIRECT("'[" &amp; $B$1 &amp; ".xlsm]data'!$H$2:$H" &amp; (COUNTA(INDIRECT("'[" &amp; $B$1 &amp; ".xlsm]data'!$H:$H")))), $A18, INDIRECT("'[" &amp; $B$1 &amp; ".xlsm]data'!$P$2:$P" &amp; (COUNTA(INDIRECT("'[" &amp; $B$1 &amp; ".xlsm]data'!$P:$P")))), {1,2,3,3.1,3.2,4,4.1,4.2,4.3,4.4,4.5,5,6,7,8,8.4,9}))</f>
        <v>#REF!</v>
      </c>
      <c r="F18" s="10" t="e">
        <f t="shared" ca="1" si="0"/>
        <v>#REF!</v>
      </c>
      <c r="G18" s="10" t="e">
        <f t="shared" ca="1" si="4"/>
        <v>#REF!</v>
      </c>
      <c r="H18" s="15"/>
      <c r="I18" s="11" t="e">
        <f t="shared" ca="1" si="1"/>
        <v>#REF!</v>
      </c>
    </row>
    <row r="19" spans="1:9" x14ac:dyDescent="0.25">
      <c r="A19" t="s">
        <v>11</v>
      </c>
      <c r="B19" s="10" t="e">
        <f t="shared" ca="1" si="2"/>
        <v>#REF!</v>
      </c>
      <c r="C19" s="13" t="e">
        <f t="shared" ca="1" si="3"/>
        <v>#REF!</v>
      </c>
      <c r="D19" s="11" t="e">
        <f t="shared" ca="1" si="3"/>
        <v>#REF!</v>
      </c>
      <c r="E19" s="10" t="e" cm="1">
        <f t="array" aca="1" ref="E19" ca="1">SUM(COUNTIFS(INDIRECT("'[" &amp; $B$1 &amp; ".xlsm]data'!$H$2:$H" &amp; (COUNTA(INDIRECT("'[" &amp; $B$1 &amp; ".xlsm]data'!$H:$H")))), $A19, INDIRECT("'[" &amp; $B$1 &amp; ".xlsm]data'!$P$2:$P" &amp; (COUNTA(INDIRECT("'[" &amp; $B$1 &amp; ".xlsm]data'!$P:$P")))), {1,2,3,3.1,3.2,4,4.1,4.2,4.3,4.4,4.5,5,6,7,8,8.4,9}))</f>
        <v>#REF!</v>
      </c>
      <c r="F19" s="10" t="e">
        <f t="shared" ca="1" si="0"/>
        <v>#REF!</v>
      </c>
      <c r="G19" s="10" t="e">
        <f t="shared" ca="1" si="4"/>
        <v>#REF!</v>
      </c>
      <c r="H19" s="15"/>
      <c r="I19" s="11" t="e">
        <f t="shared" ca="1" si="1"/>
        <v>#REF!</v>
      </c>
    </row>
    <row r="20" spans="1:9" x14ac:dyDescent="0.25">
      <c r="A20" t="s">
        <v>12</v>
      </c>
      <c r="B20" s="10" t="e">
        <f t="shared" ca="1" si="2"/>
        <v>#REF!</v>
      </c>
      <c r="C20" s="13" t="e">
        <f t="shared" ca="1" si="3"/>
        <v>#REF!</v>
      </c>
      <c r="D20" s="11" t="e">
        <f t="shared" ca="1" si="3"/>
        <v>#REF!</v>
      </c>
      <c r="E20" s="10" t="e" cm="1">
        <f t="array" aca="1" ref="E20" ca="1">SUM(COUNTIFS(INDIRECT("'[" &amp; $B$1 &amp; ".xlsm]data'!$H$2:$H" &amp; (COUNTA(INDIRECT("'[" &amp; $B$1 &amp; ".xlsm]data'!$H:$H")))), $A20, INDIRECT("'[" &amp; $B$1 &amp; ".xlsm]data'!$P$2:$P" &amp; (COUNTA(INDIRECT("'[" &amp; $B$1 &amp; ".xlsm]data'!$P:$P")))), {1,2,3,3.1,3.2,4,4.1,4.2,4.3,4.4,4.5,5,6,7,8,8.4,9}))</f>
        <v>#REF!</v>
      </c>
      <c r="F20" s="10" t="e">
        <f t="shared" ca="1" si="0"/>
        <v>#REF!</v>
      </c>
      <c r="G20" s="10" t="e">
        <f t="shared" ca="1" si="4"/>
        <v>#REF!</v>
      </c>
      <c r="H20" s="15"/>
      <c r="I20" s="11" t="e">
        <f t="shared" ca="1" si="1"/>
        <v>#REF!</v>
      </c>
    </row>
    <row r="21" spans="1:9" x14ac:dyDescent="0.25">
      <c r="A21" t="s">
        <v>13</v>
      </c>
      <c r="B21" s="10" t="e">
        <f t="shared" ca="1" si="2"/>
        <v>#REF!</v>
      </c>
      <c r="C21" s="13" t="e">
        <f t="shared" ca="1" si="3"/>
        <v>#REF!</v>
      </c>
      <c r="D21" s="11" t="e">
        <f t="shared" ca="1" si="3"/>
        <v>#REF!</v>
      </c>
      <c r="E21" s="10" t="e" cm="1">
        <f t="array" aca="1" ref="E21" ca="1">SUM(COUNTIFS(INDIRECT("'[" &amp; $B$1 &amp; ".xlsm]data'!$H$2:$H" &amp; (COUNTA(INDIRECT("'[" &amp; $B$1 &amp; ".xlsm]data'!$H:$H")))), $A21, INDIRECT("'[" &amp; $B$1 &amp; ".xlsm]data'!$P$2:$P" &amp; (COUNTA(INDIRECT("'[" &amp; $B$1 &amp; ".xlsm]data'!$P:$P")))), {1,2,3,3.1,3.2,4,4.1,4.2,4.3,4.4,4.5,5,6,7,8,8.4,9}))</f>
        <v>#REF!</v>
      </c>
      <c r="F21" s="10" t="e">
        <f t="shared" ca="1" si="0"/>
        <v>#REF!</v>
      </c>
      <c r="G21" s="10" t="e">
        <f t="shared" ca="1" si="4"/>
        <v>#REF!</v>
      </c>
      <c r="H21" s="15"/>
      <c r="I21" s="11" t="e">
        <f t="shared" ca="1" si="1"/>
        <v>#REF!</v>
      </c>
    </row>
    <row r="22" spans="1:9" x14ac:dyDescent="0.25">
      <c r="A22" t="s">
        <v>14</v>
      </c>
      <c r="B22" s="10" t="e">
        <f t="shared" ca="1" si="2"/>
        <v>#REF!</v>
      </c>
      <c r="C22" s="13" t="e">
        <f t="shared" ca="1" si="3"/>
        <v>#REF!</v>
      </c>
      <c r="D22" s="11" t="e">
        <f t="shared" ca="1" si="3"/>
        <v>#REF!</v>
      </c>
      <c r="E22" s="10" t="e" cm="1">
        <f t="array" aca="1" ref="E22" ca="1">SUM(COUNTIFS(INDIRECT("'[" &amp; $B$1 &amp; ".xlsm]data'!$H$2:$H" &amp; (COUNTA(INDIRECT("'[" &amp; $B$1 &amp; ".xlsm]data'!$H:$H")))), $A22, INDIRECT("'[" &amp; $B$1 &amp; ".xlsm]data'!$P$2:$P" &amp; (COUNTA(INDIRECT("'[" &amp; $B$1 &amp; ".xlsm]data'!$P:$P")))), {1,2,3,3.1,3.2,4,4.1,4.2,4.3,4.4,4.5,5,6,7,8,8.4,9}))</f>
        <v>#REF!</v>
      </c>
      <c r="F22" s="10" t="e">
        <f t="shared" ca="1" si="0"/>
        <v>#REF!</v>
      </c>
      <c r="G22" s="10" t="e">
        <f t="shared" ca="1" si="4"/>
        <v>#REF!</v>
      </c>
      <c r="H22" s="15"/>
      <c r="I22" s="11" t="e">
        <f t="shared" ca="1" si="1"/>
        <v>#REF!</v>
      </c>
    </row>
    <row r="23" spans="1:9" x14ac:dyDescent="0.25">
      <c r="A23" t="s">
        <v>15</v>
      </c>
      <c r="B23" s="10" t="e">
        <f t="shared" ca="1" si="2"/>
        <v>#REF!</v>
      </c>
      <c r="C23" s="13" t="e">
        <f t="shared" ca="1" si="3"/>
        <v>#REF!</v>
      </c>
      <c r="D23" s="11" t="e">
        <f t="shared" ca="1" si="3"/>
        <v>#REF!</v>
      </c>
      <c r="E23" s="10" t="e" cm="1">
        <f t="array" aca="1" ref="E23" ca="1">SUM(COUNTIFS(INDIRECT("'[" &amp; $B$1 &amp; ".xlsm]data'!$H$2:$H" &amp; (COUNTA(INDIRECT("'[" &amp; $B$1 &amp; ".xlsm]data'!$H:$H")))), $A23, INDIRECT("'[" &amp; $B$1 &amp; ".xlsm]data'!$P$2:$P" &amp; (COUNTA(INDIRECT("'[" &amp; $B$1 &amp; ".xlsm]data'!$P:$P")))), {1,2,3,3.1,3.2,4,4.1,4.2,4.3,4.4,4.5,5,6,7,8,8.4,9}))</f>
        <v>#REF!</v>
      </c>
      <c r="F23" s="10" t="e">
        <f t="shared" ca="1" si="0"/>
        <v>#REF!</v>
      </c>
      <c r="G23" s="10" t="e">
        <f t="shared" ca="1" si="4"/>
        <v>#REF!</v>
      </c>
      <c r="H23" s="15"/>
      <c r="I23" s="11" t="e">
        <f t="shared" ca="1" si="1"/>
        <v>#REF!</v>
      </c>
    </row>
    <row r="24" spans="1:9" x14ac:dyDescent="0.25">
      <c r="A24" t="s">
        <v>16</v>
      </c>
      <c r="B24" s="10" t="e">
        <f t="shared" ca="1" si="2"/>
        <v>#REF!</v>
      </c>
      <c r="C24" s="13" t="e">
        <f t="shared" ca="1" si="3"/>
        <v>#REF!</v>
      </c>
      <c r="D24" s="11" t="e">
        <f t="shared" ca="1" si="3"/>
        <v>#REF!</v>
      </c>
      <c r="E24" s="10" t="e" cm="1">
        <f t="array" aca="1" ref="E24" ca="1">SUM(COUNTIFS(INDIRECT("'[" &amp; $B$1 &amp; ".xlsm]data'!$H$2:$H" &amp; (COUNTA(INDIRECT("'[" &amp; $B$1 &amp; ".xlsm]data'!$H:$H")))), $A24, INDIRECT("'[" &amp; $B$1 &amp; ".xlsm]data'!$P$2:$P" &amp; (COUNTA(INDIRECT("'[" &amp; $B$1 &amp; ".xlsm]data'!$P:$P")))), {1,2,3,3.1,3.2,4,4.1,4.2,4.3,4.4,4.5,5,6,7,8,8.4,9}))</f>
        <v>#REF!</v>
      </c>
      <c r="F24" s="10" t="e">
        <f t="shared" ca="1" si="0"/>
        <v>#REF!</v>
      </c>
      <c r="G24" s="10" t="e">
        <f t="shared" ca="1" si="4"/>
        <v>#REF!</v>
      </c>
      <c r="H24" s="15"/>
      <c r="I24" s="11" t="e">
        <f t="shared" ca="1" si="1"/>
        <v>#REF!</v>
      </c>
    </row>
    <row r="25" spans="1:9" x14ac:dyDescent="0.25">
      <c r="A25" t="s">
        <v>17</v>
      </c>
      <c r="B25" s="10" t="e">
        <f t="shared" ca="1" si="2"/>
        <v>#REF!</v>
      </c>
      <c r="C25" s="13" t="e">
        <f t="shared" ca="1" si="3"/>
        <v>#REF!</v>
      </c>
      <c r="D25" s="11" t="e">
        <f t="shared" ca="1" si="3"/>
        <v>#REF!</v>
      </c>
      <c r="E25" s="10" t="e" cm="1">
        <f t="array" aca="1" ref="E25" ca="1">SUM(COUNTIFS(INDIRECT("'[" &amp; $B$1 &amp; ".xlsm]data'!$H$2:$H" &amp; (COUNTA(INDIRECT("'[" &amp; $B$1 &amp; ".xlsm]data'!$H:$H")))), $A25, INDIRECT("'[" &amp; $B$1 &amp; ".xlsm]data'!$P$2:$P" &amp; (COUNTA(INDIRECT("'[" &amp; $B$1 &amp; ".xlsm]data'!$P:$P")))), {1,2,3,3.1,3.2,4,4.1,4.2,4.3,4.4,4.5,5,6,7,8,8.4,9}))</f>
        <v>#REF!</v>
      </c>
      <c r="F25" s="10" t="e">
        <f t="shared" ca="1" si="0"/>
        <v>#REF!</v>
      </c>
      <c r="G25" s="10" t="e">
        <f t="shared" ca="1" si="4"/>
        <v>#REF!</v>
      </c>
      <c r="H25" s="15"/>
      <c r="I25" s="11" t="e">
        <f t="shared" ca="1" si="1"/>
        <v>#REF!</v>
      </c>
    </row>
    <row r="26" spans="1:9" x14ac:dyDescent="0.25">
      <c r="A26" t="s">
        <v>18</v>
      </c>
      <c r="B26" s="10" t="e">
        <f t="shared" ca="1" si="2"/>
        <v>#REF!</v>
      </c>
      <c r="C26" s="13" t="e">
        <f t="shared" ca="1" si="3"/>
        <v>#REF!</v>
      </c>
      <c r="D26" s="11" t="e">
        <f t="shared" ca="1" si="3"/>
        <v>#REF!</v>
      </c>
      <c r="E26" s="10" t="e" cm="1">
        <f t="array" aca="1" ref="E26" ca="1">SUM(COUNTIFS(INDIRECT("'[" &amp; $B$1 &amp; ".xlsm]data'!$H$2:$H" &amp; (COUNTA(INDIRECT("'[" &amp; $B$1 &amp; ".xlsm]data'!$H:$H")))), $A26, INDIRECT("'[" &amp; $B$1 &amp; ".xlsm]data'!$P$2:$P" &amp; (COUNTA(INDIRECT("'[" &amp; $B$1 &amp; ".xlsm]data'!$P:$P")))), {1,2,3,3.1,3.2,4,4.1,4.2,4.3,4.4,4.5,5,6,7,8,8.4,9}))</f>
        <v>#REF!</v>
      </c>
      <c r="F26" s="10" t="e">
        <f t="shared" ca="1" si="0"/>
        <v>#REF!</v>
      </c>
      <c r="G26" s="10" t="e">
        <f t="shared" ca="1" si="4"/>
        <v>#REF!</v>
      </c>
      <c r="H26" s="15"/>
      <c r="I26" s="11" t="e">
        <f t="shared" ca="1" si="1"/>
        <v>#REF!</v>
      </c>
    </row>
    <row r="27" spans="1:9" x14ac:dyDescent="0.25">
      <c r="A27" t="s">
        <v>19</v>
      </c>
      <c r="B27" s="10" t="e">
        <f t="shared" ca="1" si="2"/>
        <v>#REF!</v>
      </c>
      <c r="C27" s="13" t="e">
        <f t="shared" ca="1" si="3"/>
        <v>#REF!</v>
      </c>
      <c r="D27" s="11" t="e">
        <f t="shared" ca="1" si="3"/>
        <v>#REF!</v>
      </c>
      <c r="E27" s="10" t="e" cm="1">
        <f t="array" aca="1" ref="E27" ca="1">SUM(COUNTIFS(INDIRECT("'[" &amp; $B$1 &amp; ".xlsm]data'!$H$2:$H" &amp; (COUNTA(INDIRECT("'[" &amp; $B$1 &amp; ".xlsm]data'!$H:$H")))), $A27, INDIRECT("'[" &amp; $B$1 &amp; ".xlsm]data'!$P$2:$P" &amp; (COUNTA(INDIRECT("'[" &amp; $B$1 &amp; ".xlsm]data'!$P:$P")))), {1,2,3,3.1,3.2,4,4.1,4.2,4.3,4.4,4.5,5,6,7,8,8.4,9}))</f>
        <v>#REF!</v>
      </c>
      <c r="F27" s="10" t="e">
        <f t="shared" ca="1" si="0"/>
        <v>#REF!</v>
      </c>
      <c r="G27" s="10" t="e">
        <f t="shared" ca="1" si="4"/>
        <v>#REF!</v>
      </c>
      <c r="H27" s="15"/>
      <c r="I27" s="11" t="e">
        <f t="shared" ca="1" si="1"/>
        <v>#REF!</v>
      </c>
    </row>
    <row r="28" spans="1:9" x14ac:dyDescent="0.25">
      <c r="A28" t="s">
        <v>20</v>
      </c>
      <c r="B28" s="10" t="e">
        <f t="shared" ca="1" si="2"/>
        <v>#REF!</v>
      </c>
      <c r="C28" s="13" t="e">
        <f t="shared" ca="1" si="3"/>
        <v>#REF!</v>
      </c>
      <c r="D28" s="11" t="e">
        <f t="shared" ca="1" si="3"/>
        <v>#REF!</v>
      </c>
      <c r="E28" s="10" t="e" cm="1">
        <f t="array" aca="1" ref="E28" ca="1">SUM(COUNTIFS(INDIRECT("'[" &amp; $B$1 &amp; ".xlsm]data'!$H$2:$H" &amp; (COUNTA(INDIRECT("'[" &amp; $B$1 &amp; ".xlsm]data'!$H:$H")))), $A28, INDIRECT("'[" &amp; $B$1 &amp; ".xlsm]data'!$P$2:$P" &amp; (COUNTA(INDIRECT("'[" &amp; $B$1 &amp; ".xlsm]data'!$P:$P")))), {1,2,3,3.1,3.2,4,4.1,4.2,4.3,4.4,4.5,5,6,7,8,8.4,9}))</f>
        <v>#REF!</v>
      </c>
      <c r="F28" s="10" t="e">
        <f t="shared" ca="1" si="0"/>
        <v>#REF!</v>
      </c>
      <c r="G28" s="10" t="e">
        <f t="shared" ca="1" si="4"/>
        <v>#REF!</v>
      </c>
      <c r="H28" s="15"/>
      <c r="I28" s="11" t="e">
        <f t="shared" ca="1" si="1"/>
        <v>#REF!</v>
      </c>
    </row>
    <row r="29" spans="1:9" x14ac:dyDescent="0.25">
      <c r="A29" t="s">
        <v>21</v>
      </c>
      <c r="B29" s="10" t="e">
        <f t="shared" ca="1" si="2"/>
        <v>#REF!</v>
      </c>
      <c r="C29" s="13" t="e">
        <f t="shared" ca="1" si="3"/>
        <v>#REF!</v>
      </c>
      <c r="D29" s="11" t="e">
        <f t="shared" ca="1" si="3"/>
        <v>#REF!</v>
      </c>
      <c r="E29" s="10" t="e" cm="1">
        <f t="array" aca="1" ref="E29" ca="1">SUM(COUNTIFS(INDIRECT("'[" &amp; $B$1 &amp; ".xlsm]data'!$H$2:$H" &amp; (COUNTA(INDIRECT("'[" &amp; $B$1 &amp; ".xlsm]data'!$H:$H")))), $A29, INDIRECT("'[" &amp; $B$1 &amp; ".xlsm]data'!$P$2:$P" &amp; (COUNTA(INDIRECT("'[" &amp; $B$1 &amp; ".xlsm]data'!$P:$P")))), {1,2,3,3.1,3.2,4,4.1,4.2,4.3,4.4,4.5,5,6,7,8,8.4,9}))</f>
        <v>#REF!</v>
      </c>
      <c r="F29" s="10" t="e">
        <f t="shared" ca="1" si="0"/>
        <v>#REF!</v>
      </c>
      <c r="G29" s="10" t="e">
        <f t="shared" ca="1" si="4"/>
        <v>#REF!</v>
      </c>
      <c r="H29" s="15"/>
      <c r="I29" s="11" t="e">
        <f t="shared" ca="1" si="1"/>
        <v>#REF!</v>
      </c>
    </row>
    <row r="30" spans="1:9" x14ac:dyDescent="0.25">
      <c r="A30" t="s">
        <v>22</v>
      </c>
      <c r="B30" s="10" t="e">
        <f t="shared" ca="1" si="2"/>
        <v>#REF!</v>
      </c>
      <c r="C30" s="13" t="e">
        <f t="shared" ca="1" si="3"/>
        <v>#REF!</v>
      </c>
      <c r="D30" s="11" t="e">
        <f t="shared" ca="1" si="3"/>
        <v>#REF!</v>
      </c>
      <c r="E30" s="10" t="e" cm="1">
        <f t="array" aca="1" ref="E30" ca="1">SUM(COUNTIFS(INDIRECT("'[" &amp; $B$1 &amp; ".xlsm]data'!$H$2:$H" &amp; (COUNTA(INDIRECT("'[" &amp; $B$1 &amp; ".xlsm]data'!$H:$H")))), $A30, INDIRECT("'[" &amp; $B$1 &amp; ".xlsm]data'!$P$2:$P" &amp; (COUNTA(INDIRECT("'[" &amp; $B$1 &amp; ".xlsm]data'!$P:$P")))), {1,2,3,3.1,3.2,4,4.1,4.2,4.3,4.4,4.5,5,6,7,8,8.4,9}))</f>
        <v>#REF!</v>
      </c>
      <c r="F30" s="10" t="e">
        <f t="shared" ca="1" si="0"/>
        <v>#REF!</v>
      </c>
      <c r="G30" s="10" t="e">
        <f t="shared" ca="1" si="4"/>
        <v>#REF!</v>
      </c>
      <c r="H30" s="15"/>
      <c r="I30" s="11" t="e">
        <f t="shared" ca="1" si="1"/>
        <v>#REF!</v>
      </c>
    </row>
    <row r="31" spans="1:9" x14ac:dyDescent="0.25">
      <c r="A31" t="s">
        <v>23</v>
      </c>
      <c r="B31" s="10" t="e">
        <f t="shared" ca="1" si="2"/>
        <v>#REF!</v>
      </c>
      <c r="C31" s="13" t="e">
        <f t="shared" ca="1" si="3"/>
        <v>#REF!</v>
      </c>
      <c r="D31" s="11" t="e">
        <f t="shared" ca="1" si="3"/>
        <v>#REF!</v>
      </c>
      <c r="E31" s="10" t="e" cm="1">
        <f t="array" aca="1" ref="E31" ca="1">SUM(COUNTIFS(INDIRECT("'[" &amp; $B$1 &amp; ".xlsm]data'!$H$2:$H" &amp; (COUNTA(INDIRECT("'[" &amp; $B$1 &amp; ".xlsm]data'!$H:$H")))), $A31, INDIRECT("'[" &amp; $B$1 &amp; ".xlsm]data'!$P$2:$P" &amp; (COUNTA(INDIRECT("'[" &amp; $B$1 &amp; ".xlsm]data'!$P:$P")))), {1,2,3,3.1,3.2,4,4.1,4.2,4.3,4.4,4.5,5,6,7,8,8.4,9}))</f>
        <v>#REF!</v>
      </c>
      <c r="F31" s="10" t="e">
        <f t="shared" ca="1" si="0"/>
        <v>#REF!</v>
      </c>
      <c r="G31" s="10" t="e">
        <f t="shared" ca="1" si="4"/>
        <v>#REF!</v>
      </c>
      <c r="H31" s="15"/>
      <c r="I31" s="11" t="e">
        <f t="shared" ca="1" si="1"/>
        <v>#REF!</v>
      </c>
    </row>
    <row r="32" spans="1:9" x14ac:dyDescent="0.25">
      <c r="A32" t="s">
        <v>24</v>
      </c>
      <c r="B32" s="10" t="e">
        <f t="shared" ca="1" si="2"/>
        <v>#REF!</v>
      </c>
      <c r="C32" s="13" t="e">
        <f t="shared" ca="1" si="3"/>
        <v>#REF!</v>
      </c>
      <c r="D32" s="11" t="e">
        <f t="shared" ca="1" si="3"/>
        <v>#REF!</v>
      </c>
      <c r="E32" s="10" t="e" cm="1">
        <f t="array" aca="1" ref="E32" ca="1">SUM(COUNTIFS(INDIRECT("'[" &amp; $B$1 &amp; ".xlsm]data'!$H$2:$H" &amp; (COUNTA(INDIRECT("'[" &amp; $B$1 &amp; ".xlsm]data'!$H:$H")))), $A32, INDIRECT("'[" &amp; $B$1 &amp; ".xlsm]data'!$P$2:$P" &amp; (COUNTA(INDIRECT("'[" &amp; $B$1 &amp; ".xlsm]data'!$P:$P")))), {1,2,3,3.1,3.2,4,4.1,4.2,4.3,4.4,4.5,5,6,7,8,8.4,9}))</f>
        <v>#REF!</v>
      </c>
      <c r="F32" s="10" t="e">
        <f t="shared" ca="1" si="0"/>
        <v>#REF!</v>
      </c>
      <c r="G32" s="10" t="e">
        <f t="shared" ca="1" si="4"/>
        <v>#REF!</v>
      </c>
      <c r="H32" s="15"/>
      <c r="I32" s="11" t="e">
        <f t="shared" ca="1" si="1"/>
        <v>#REF!</v>
      </c>
    </row>
    <row r="33" spans="1:9" x14ac:dyDescent="0.25">
      <c r="A33" t="s">
        <v>25</v>
      </c>
      <c r="B33" s="10" t="e">
        <f t="shared" ca="1" si="2"/>
        <v>#REF!</v>
      </c>
      <c r="C33" s="13" t="e">
        <f t="shared" ca="1" si="3"/>
        <v>#REF!</v>
      </c>
      <c r="D33" s="11" t="e">
        <f t="shared" ca="1" si="3"/>
        <v>#REF!</v>
      </c>
      <c r="E33" s="10" t="e" cm="1">
        <f t="array" aca="1" ref="E33" ca="1">SUM(COUNTIFS(INDIRECT("'[" &amp; $B$1 &amp; ".xlsm]data'!$H$2:$H" &amp; (COUNTA(INDIRECT("'[" &amp; $B$1 &amp; ".xlsm]data'!$H:$H")))), $A33, INDIRECT("'[" &amp; $B$1 &amp; ".xlsm]data'!$P$2:$P" &amp; (COUNTA(INDIRECT("'[" &amp; $B$1 &amp; ".xlsm]data'!$P:$P")))), {1,2,3,3.1,3.2,4,4.1,4.2,4.3,4.4,4.5,5,6,7,8,8.4,9}))</f>
        <v>#REF!</v>
      </c>
      <c r="F33" s="10" t="e">
        <f t="shared" ca="1" si="0"/>
        <v>#REF!</v>
      </c>
      <c r="G33" s="10" t="e">
        <f t="shared" ca="1" si="4"/>
        <v>#REF!</v>
      </c>
      <c r="H33" s="15"/>
      <c r="I33" s="11" t="e">
        <f t="shared" ca="1" si="1"/>
        <v>#REF!</v>
      </c>
    </row>
    <row r="34" spans="1:9" x14ac:dyDescent="0.25">
      <c r="A34" t="s">
        <v>26</v>
      </c>
      <c r="B34" s="10" t="e">
        <f t="shared" ca="1" si="2"/>
        <v>#REF!</v>
      </c>
      <c r="C34" s="13" t="e">
        <f t="shared" ca="1" si="3"/>
        <v>#REF!</v>
      </c>
      <c r="D34" s="11" t="e">
        <f t="shared" ca="1" si="3"/>
        <v>#REF!</v>
      </c>
      <c r="E34" s="10" t="e" cm="1">
        <f t="array" aca="1" ref="E34" ca="1">SUM(COUNTIFS(INDIRECT("'[" &amp; $B$1 &amp; ".xlsm]data'!$H$2:$H" &amp; (COUNTA(INDIRECT("'[" &amp; $B$1 &amp; ".xlsm]data'!$H:$H")))), $A34, INDIRECT("'[" &amp; $B$1 &amp; ".xlsm]data'!$P$2:$P" &amp; (COUNTA(INDIRECT("'[" &amp; $B$1 &amp; ".xlsm]data'!$P:$P")))), {1,2,3,3.1,3.2,4,4.1,4.2,4.3,4.4,4.5,5,6,7,8,8.4,9}))</f>
        <v>#REF!</v>
      </c>
      <c r="F34" s="10" t="e">
        <f t="shared" ca="1" si="0"/>
        <v>#REF!</v>
      </c>
      <c r="G34" s="10" t="e">
        <f t="shared" ca="1" si="4"/>
        <v>#REF!</v>
      </c>
      <c r="H34" s="15"/>
      <c r="I34" s="11" t="e">
        <f t="shared" ca="1" si="1"/>
        <v>#REF!</v>
      </c>
    </row>
    <row r="35" spans="1:9" x14ac:dyDescent="0.25">
      <c r="A35" t="s">
        <v>281</v>
      </c>
      <c r="B35" s="10" t="e">
        <f t="shared" ca="1" si="2"/>
        <v>#REF!</v>
      </c>
      <c r="C35" s="13" t="e">
        <f t="shared" ca="1" si="3"/>
        <v>#REF!</v>
      </c>
      <c r="D35" s="11" t="e">
        <f t="shared" ca="1" si="3"/>
        <v>#REF!</v>
      </c>
      <c r="E35" s="10" t="e" cm="1">
        <f t="array" aca="1" ref="E35" ca="1">SUM(COUNTIFS(INDIRECT("'[" &amp; $B$1 &amp; ".xlsm]data'!$H$2:$H" &amp; (COUNTA(INDIRECT("'[" &amp; $B$1 &amp; ".xlsm]data'!$H:$H")))), $A35, INDIRECT("'[" &amp; $B$1 &amp; ".xlsm]data'!$P$2:$P" &amp; (COUNTA(INDIRECT("'[" &amp; $B$1 &amp; ".xlsm]data'!$P:$P")))), {1,2,3,3.1,3.2,4,4.1,4.2,4.3,4.4,4.5,5,6,7,8,8.4,9}))</f>
        <v>#REF!</v>
      </c>
      <c r="F35" s="10" t="e">
        <f t="shared" ca="1" si="0"/>
        <v>#REF!</v>
      </c>
      <c r="G35" s="10" t="e">
        <f t="shared" ca="1" si="4"/>
        <v>#REF!</v>
      </c>
      <c r="H35" s="15"/>
      <c r="I35" s="11" t="e">
        <f t="shared" ca="1" si="1"/>
        <v>#REF!</v>
      </c>
    </row>
    <row r="36" spans="1:9" x14ac:dyDescent="0.25">
      <c r="A36" t="s">
        <v>28</v>
      </c>
      <c r="B36" s="10" t="e">
        <f t="shared" ca="1" si="2"/>
        <v>#REF!</v>
      </c>
      <c r="C36" s="13" t="e">
        <f t="shared" ca="1" si="3"/>
        <v>#REF!</v>
      </c>
      <c r="D36" s="11" t="e">
        <f t="shared" ca="1" si="3"/>
        <v>#REF!</v>
      </c>
      <c r="E36" s="10" t="e" cm="1">
        <f t="array" aca="1" ref="E36" ca="1">SUM(COUNTIFS(INDIRECT("'[" &amp; $B$1 &amp; ".xlsm]data'!$H$2:$H" &amp; (COUNTA(INDIRECT("'[" &amp; $B$1 &amp; ".xlsm]data'!$H:$H")))), $A36, INDIRECT("'[" &amp; $B$1 &amp; ".xlsm]data'!$P$2:$P" &amp; (COUNTA(INDIRECT("'[" &amp; $B$1 &amp; ".xlsm]data'!$P:$P")))), {1,2,3,3.1,3.2,4,4.1,4.2,4.3,4.4,4.5,5,6,7,8,8.4,9}))</f>
        <v>#REF!</v>
      </c>
      <c r="F36" s="10" t="e">
        <f t="shared" ca="1" si="0"/>
        <v>#REF!</v>
      </c>
      <c r="G36" s="10" t="e">
        <f t="shared" ca="1" si="4"/>
        <v>#REF!</v>
      </c>
      <c r="H36" s="15"/>
      <c r="I36" s="11" t="e">
        <f t="shared" ca="1" si="1"/>
        <v>#REF!</v>
      </c>
    </row>
    <row r="37" spans="1:9" x14ac:dyDescent="0.25">
      <c r="A37" t="s">
        <v>29</v>
      </c>
      <c r="B37" s="10" t="e">
        <f t="shared" ca="1" si="2"/>
        <v>#REF!</v>
      </c>
      <c r="C37" s="13" t="e">
        <f t="shared" ca="1" si="3"/>
        <v>#REF!</v>
      </c>
      <c r="D37" s="11" t="e">
        <f t="shared" ca="1" si="3"/>
        <v>#REF!</v>
      </c>
      <c r="E37" s="10" t="e" cm="1">
        <f t="array" aca="1" ref="E37" ca="1">SUM(COUNTIFS(INDIRECT("'[" &amp; $B$1 &amp; ".xlsm]data'!$H$2:$H" &amp; (COUNTA(INDIRECT("'[" &amp; $B$1 &amp; ".xlsm]data'!$H:$H")))), $A37, INDIRECT("'[" &amp; $B$1 &amp; ".xlsm]data'!$P$2:$P" &amp; (COUNTA(INDIRECT("'[" &amp; $B$1 &amp; ".xlsm]data'!$P:$P")))), {1,2,3,3.1,3.2,4,4.1,4.2,4.3,4.4,4.5,5,6,7,8,8.4,9}))</f>
        <v>#REF!</v>
      </c>
      <c r="F37" s="10" t="e">
        <f t="shared" ca="1" si="0"/>
        <v>#REF!</v>
      </c>
      <c r="G37" s="10" t="e">
        <f t="shared" ca="1" si="4"/>
        <v>#REF!</v>
      </c>
      <c r="H37" s="15"/>
      <c r="I37" s="11" t="e">
        <f t="shared" ca="1" si="1"/>
        <v>#REF!</v>
      </c>
    </row>
    <row r="38" spans="1:9" x14ac:dyDescent="0.25">
      <c r="A38" t="s">
        <v>30</v>
      </c>
      <c r="B38" s="10" t="e">
        <f t="shared" ca="1" si="2"/>
        <v>#REF!</v>
      </c>
      <c r="C38" s="13" t="e">
        <f t="shared" ca="1" si="3"/>
        <v>#REF!</v>
      </c>
      <c r="D38" s="11" t="e">
        <f t="shared" ca="1" si="3"/>
        <v>#REF!</v>
      </c>
      <c r="E38" s="10" t="e" cm="1">
        <f t="array" aca="1" ref="E38" ca="1">SUM(COUNTIFS(INDIRECT("'[" &amp; $B$1 &amp; ".xlsm]data'!$H$2:$H" &amp; (COUNTA(INDIRECT("'[" &amp; $B$1 &amp; ".xlsm]data'!$H:$H")))), $A38, INDIRECT("'[" &amp; $B$1 &amp; ".xlsm]data'!$P$2:$P" &amp; (COUNTA(INDIRECT("'[" &amp; $B$1 &amp; ".xlsm]data'!$P:$P")))), {1,2,3,3.1,3.2,4,4.1,4.2,4.3,4.4,4.5,5,6,7,8,8.4,9}))</f>
        <v>#REF!</v>
      </c>
      <c r="F38" s="10" t="e">
        <f t="shared" ca="1" si="0"/>
        <v>#REF!</v>
      </c>
      <c r="G38" s="10" t="e">
        <f t="shared" ca="1" si="4"/>
        <v>#REF!</v>
      </c>
      <c r="H38" s="15"/>
      <c r="I38" s="11" t="e">
        <f t="shared" ca="1" si="1"/>
        <v>#REF!</v>
      </c>
    </row>
    <row r="39" spans="1:9" x14ac:dyDescent="0.25">
      <c r="A39" t="s">
        <v>31</v>
      </c>
      <c r="B39" s="10" t="e">
        <f t="shared" ca="1" si="2"/>
        <v>#REF!</v>
      </c>
      <c r="C39" s="13" t="e">
        <f t="shared" ca="1" si="3"/>
        <v>#REF!</v>
      </c>
      <c r="D39" s="11" t="e">
        <f t="shared" ca="1" si="3"/>
        <v>#REF!</v>
      </c>
      <c r="E39" s="10" t="e" cm="1">
        <f t="array" aca="1" ref="E39" ca="1">SUM(COUNTIFS(INDIRECT("'[" &amp; $B$1 &amp; ".xlsm]data'!$H$2:$H" &amp; (COUNTA(INDIRECT("'[" &amp; $B$1 &amp; ".xlsm]data'!$H:$H")))), $A39, INDIRECT("'[" &amp; $B$1 &amp; ".xlsm]data'!$P$2:$P" &amp; (COUNTA(INDIRECT("'[" &amp; $B$1 &amp; ".xlsm]data'!$P:$P")))), {1,2,3,3.1,3.2,4,4.1,4.2,4.3,4.4,4.5,5,6,7,8,8.4,9}))</f>
        <v>#REF!</v>
      </c>
      <c r="F39" s="10" t="e">
        <f t="shared" ca="1" si="0"/>
        <v>#REF!</v>
      </c>
      <c r="G39" s="10" t="e">
        <f t="shared" ca="1" si="4"/>
        <v>#REF!</v>
      </c>
      <c r="H39" s="15"/>
      <c r="I39" s="11" t="e">
        <f t="shared" ca="1" si="1"/>
        <v>#REF!</v>
      </c>
    </row>
    <row r="40" spans="1:9" x14ac:dyDescent="0.25">
      <c r="A40" t="s">
        <v>32</v>
      </c>
      <c r="B40" s="10" t="e">
        <f t="shared" ca="1" si="2"/>
        <v>#REF!</v>
      </c>
      <c r="C40" s="13" t="e">
        <f t="shared" ca="1" si="3"/>
        <v>#REF!</v>
      </c>
      <c r="D40" s="11" t="e">
        <f t="shared" ca="1" si="3"/>
        <v>#REF!</v>
      </c>
      <c r="E40" s="10" t="e" cm="1">
        <f t="array" aca="1" ref="E40" ca="1">SUM(COUNTIFS(INDIRECT("'[" &amp; $B$1 &amp; ".xlsm]data'!$H$2:$H" &amp; (COUNTA(INDIRECT("'[" &amp; $B$1 &amp; ".xlsm]data'!$H:$H")))), $A40, INDIRECT("'[" &amp; $B$1 &amp; ".xlsm]data'!$P$2:$P" &amp; (COUNTA(INDIRECT("'[" &amp; $B$1 &amp; ".xlsm]data'!$P:$P")))), {1,2,3,3.1,3.2,4,4.1,4.2,4.3,4.4,4.5,5,6,7,8,8.4,9}))</f>
        <v>#REF!</v>
      </c>
      <c r="F40" s="10" t="e">
        <f t="shared" ca="1" si="0"/>
        <v>#REF!</v>
      </c>
      <c r="G40" s="10" t="e">
        <f t="shared" ca="1" si="4"/>
        <v>#REF!</v>
      </c>
      <c r="H40" s="15"/>
      <c r="I40" s="11" t="e">
        <f t="shared" ca="1" si="1"/>
        <v>#REF!</v>
      </c>
    </row>
    <row r="41" spans="1:9" x14ac:dyDescent="0.25">
      <c r="A41" t="s">
        <v>33</v>
      </c>
      <c r="B41" s="10" t="e">
        <f t="shared" ca="1" si="2"/>
        <v>#REF!</v>
      </c>
      <c r="C41" s="13" t="e">
        <f t="shared" ca="1" si="3"/>
        <v>#REF!</v>
      </c>
      <c r="D41" s="11" t="e">
        <f t="shared" ca="1" si="3"/>
        <v>#REF!</v>
      </c>
      <c r="E41" s="10" t="e" cm="1">
        <f t="array" aca="1" ref="E41" ca="1">SUM(COUNTIFS(INDIRECT("'[" &amp; $B$1 &amp; ".xlsm]data'!$H$2:$H" &amp; (COUNTA(INDIRECT("'[" &amp; $B$1 &amp; ".xlsm]data'!$H:$H")))), $A41, INDIRECT("'[" &amp; $B$1 &amp; ".xlsm]data'!$P$2:$P" &amp; (COUNTA(INDIRECT("'[" &amp; $B$1 &amp; ".xlsm]data'!$P:$P")))), {1,2,3,3.1,3.2,4,4.1,4.2,4.3,4.4,4.5,5,6,7,8,8.4,9}))</f>
        <v>#REF!</v>
      </c>
      <c r="F41" s="10" t="e">
        <f t="shared" ca="1" si="0"/>
        <v>#REF!</v>
      </c>
      <c r="G41" s="10" t="e">
        <f t="shared" ca="1" si="4"/>
        <v>#REF!</v>
      </c>
      <c r="H41" s="15"/>
      <c r="I41" s="11" t="e">
        <f t="shared" ca="1" si="1"/>
        <v>#REF!</v>
      </c>
    </row>
    <row r="42" spans="1:9" x14ac:dyDescent="0.25">
      <c r="A42" t="s">
        <v>34</v>
      </c>
      <c r="B42" s="10" t="e">
        <f t="shared" ca="1" si="2"/>
        <v>#REF!</v>
      </c>
      <c r="C42" s="13" t="e">
        <f t="shared" ca="1" si="3"/>
        <v>#REF!</v>
      </c>
      <c r="D42" s="11" t="e">
        <f t="shared" ca="1" si="3"/>
        <v>#REF!</v>
      </c>
      <c r="E42" s="10" t="e" cm="1">
        <f t="array" aca="1" ref="E42" ca="1">SUM(COUNTIFS(INDIRECT("'[" &amp; $B$1 &amp; ".xlsm]data'!$H$2:$H" &amp; (COUNTA(INDIRECT("'[" &amp; $B$1 &amp; ".xlsm]data'!$H:$H")))), $A42, INDIRECT("'[" &amp; $B$1 &amp; ".xlsm]data'!$P$2:$P" &amp; (COUNTA(INDIRECT("'[" &amp; $B$1 &amp; ".xlsm]data'!$P:$P")))), {1,2,3,3.1,3.2,4,4.1,4.2,4.3,4.4,4.5,5,6,7,8,8.4,9}))</f>
        <v>#REF!</v>
      </c>
      <c r="F42" s="10" t="e">
        <f t="shared" ca="1" si="0"/>
        <v>#REF!</v>
      </c>
      <c r="G42" s="10" t="e">
        <f t="shared" ca="1" si="4"/>
        <v>#REF!</v>
      </c>
      <c r="H42" s="15"/>
      <c r="I42" s="11" t="e">
        <f t="shared" ca="1" si="1"/>
        <v>#REF!</v>
      </c>
    </row>
    <row r="43" spans="1:9" x14ac:dyDescent="0.25">
      <c r="A43" t="s">
        <v>35</v>
      </c>
      <c r="B43" s="10" t="e">
        <f t="shared" ca="1" si="2"/>
        <v>#REF!</v>
      </c>
      <c r="C43" s="13" t="e">
        <f t="shared" ca="1" si="3"/>
        <v>#REF!</v>
      </c>
      <c r="D43" s="11" t="e">
        <f t="shared" ca="1" si="3"/>
        <v>#REF!</v>
      </c>
      <c r="E43" s="10" t="e" cm="1">
        <f t="array" aca="1" ref="E43" ca="1">SUM(COUNTIFS(INDIRECT("'[" &amp; $B$1 &amp; ".xlsm]data'!$H$2:$H" &amp; (COUNTA(INDIRECT("'[" &amp; $B$1 &amp; ".xlsm]data'!$H:$H")))), $A43, INDIRECT("'[" &amp; $B$1 &amp; ".xlsm]data'!$P$2:$P" &amp; (COUNTA(INDIRECT("'[" &amp; $B$1 &amp; ".xlsm]data'!$P:$P")))), {1,2,3,3.1,3.2,4,4.1,4.2,4.3,4.4,4.5,5,6,7,8,8.4,9}))</f>
        <v>#REF!</v>
      </c>
      <c r="F43" s="10" t="e">
        <f t="shared" ca="1" si="0"/>
        <v>#REF!</v>
      </c>
      <c r="G43" s="10" t="e">
        <f t="shared" ca="1" si="4"/>
        <v>#REF!</v>
      </c>
      <c r="H43" s="15"/>
      <c r="I43" s="11" t="e">
        <f t="shared" ca="1" si="1"/>
        <v>#REF!</v>
      </c>
    </row>
    <row r="44" spans="1:9" x14ac:dyDescent="0.25">
      <c r="A44" t="s">
        <v>36</v>
      </c>
      <c r="B44" s="10" t="e">
        <f t="shared" ca="1" si="2"/>
        <v>#REF!</v>
      </c>
      <c r="C44" s="13" t="e">
        <f t="shared" ca="1" si="3"/>
        <v>#REF!</v>
      </c>
      <c r="D44" s="11" t="e">
        <f t="shared" ca="1" si="3"/>
        <v>#REF!</v>
      </c>
      <c r="E44" s="10" t="e" cm="1">
        <f t="array" aca="1" ref="E44" ca="1">SUM(COUNTIFS(INDIRECT("'[" &amp; $B$1 &amp; ".xlsm]data'!$H$2:$H" &amp; (COUNTA(INDIRECT("'[" &amp; $B$1 &amp; ".xlsm]data'!$H:$H")))), $A44, INDIRECT("'[" &amp; $B$1 &amp; ".xlsm]data'!$P$2:$P" &amp; (COUNTA(INDIRECT("'[" &amp; $B$1 &amp; ".xlsm]data'!$P:$P")))), {1,2,3,3.1,3.2,4,4.1,4.2,4.3,4.4,4.5,5,6,7,8,8.4,9}))</f>
        <v>#REF!</v>
      </c>
      <c r="F44" s="10" t="e">
        <f t="shared" ca="1" si="0"/>
        <v>#REF!</v>
      </c>
      <c r="G44" s="10" t="e">
        <f t="shared" ca="1" si="4"/>
        <v>#REF!</v>
      </c>
      <c r="H44" s="15"/>
      <c r="I44" s="11" t="e">
        <f t="shared" ca="1" si="1"/>
        <v>#REF!</v>
      </c>
    </row>
    <row r="45" spans="1:9" x14ac:dyDescent="0.25">
      <c r="A45" t="s">
        <v>37</v>
      </c>
      <c r="B45" s="10" t="e">
        <f t="shared" ca="1" si="2"/>
        <v>#REF!</v>
      </c>
      <c r="C45" s="13" t="e">
        <f t="shared" ca="1" si="3"/>
        <v>#REF!</v>
      </c>
      <c r="D45" s="11" t="e">
        <f t="shared" ca="1" si="3"/>
        <v>#REF!</v>
      </c>
      <c r="E45" s="10" t="e" cm="1">
        <f t="array" aca="1" ref="E45" ca="1">SUM(COUNTIFS(INDIRECT("'[" &amp; $B$1 &amp; ".xlsm]data'!$H$2:$H" &amp; (COUNTA(INDIRECT("'[" &amp; $B$1 &amp; ".xlsm]data'!$H:$H")))), $A45, INDIRECT("'[" &amp; $B$1 &amp; ".xlsm]data'!$P$2:$P" &amp; (COUNTA(INDIRECT("'[" &amp; $B$1 &amp; ".xlsm]data'!$P:$P")))), {1,2,3,3.1,3.2,4,4.1,4.2,4.3,4.4,4.5,5,6,7,8,8.4,9}))</f>
        <v>#REF!</v>
      </c>
      <c r="F45" s="10" t="e">
        <f t="shared" ca="1" si="0"/>
        <v>#REF!</v>
      </c>
      <c r="G45" s="10" t="e">
        <f t="shared" ca="1" si="4"/>
        <v>#REF!</v>
      </c>
      <c r="H45" s="15"/>
      <c r="I45" s="11" t="e">
        <f t="shared" ca="1" si="1"/>
        <v>#REF!</v>
      </c>
    </row>
    <row r="46" spans="1:9" x14ac:dyDescent="0.25">
      <c r="A46" t="s">
        <v>38</v>
      </c>
      <c r="B46" s="10" t="e">
        <f t="shared" ca="1" si="2"/>
        <v>#REF!</v>
      </c>
      <c r="C46" s="13" t="e">
        <f t="shared" ca="1" si="3"/>
        <v>#REF!</v>
      </c>
      <c r="D46" s="11" t="e">
        <f t="shared" ca="1" si="3"/>
        <v>#REF!</v>
      </c>
      <c r="E46" s="10" t="e" cm="1">
        <f t="array" aca="1" ref="E46" ca="1">SUM(COUNTIFS(INDIRECT("'[" &amp; $B$1 &amp; ".xlsm]data'!$H$2:$H" &amp; (COUNTA(INDIRECT("'[" &amp; $B$1 &amp; ".xlsm]data'!$H:$H")))), $A46, INDIRECT("'[" &amp; $B$1 &amp; ".xlsm]data'!$P$2:$P" &amp; (COUNTA(INDIRECT("'[" &amp; $B$1 &amp; ".xlsm]data'!$P:$P")))), {1,2,3,3.1,3.2,4,4.1,4.2,4.3,4.4,4.5,5,6,7,8,8.4,9}))</f>
        <v>#REF!</v>
      </c>
      <c r="F46" s="10" t="e">
        <f t="shared" ca="1" si="0"/>
        <v>#REF!</v>
      </c>
      <c r="G46" s="10" t="e">
        <f t="shared" ca="1" si="4"/>
        <v>#REF!</v>
      </c>
      <c r="H46" s="15"/>
      <c r="I46" s="11" t="e">
        <f t="shared" ca="1" si="1"/>
        <v>#REF!</v>
      </c>
    </row>
    <row r="47" spans="1:9" x14ac:dyDescent="0.25">
      <c r="A47" t="s">
        <v>39</v>
      </c>
      <c r="B47" s="10" t="e">
        <f t="shared" ca="1" si="2"/>
        <v>#REF!</v>
      </c>
      <c r="C47" s="13" t="e">
        <f t="shared" ca="1" si="3"/>
        <v>#REF!</v>
      </c>
      <c r="D47" s="11" t="e">
        <f t="shared" ca="1" si="3"/>
        <v>#REF!</v>
      </c>
      <c r="E47" s="10" t="e" cm="1">
        <f t="array" aca="1" ref="E47" ca="1">SUM(COUNTIFS(INDIRECT("'[" &amp; $B$1 &amp; ".xlsm]data'!$H$2:$H" &amp; (COUNTA(INDIRECT("'[" &amp; $B$1 &amp; ".xlsm]data'!$H:$H")))), $A47, INDIRECT("'[" &amp; $B$1 &amp; ".xlsm]data'!$P$2:$P" &amp; (COUNTA(INDIRECT("'[" &amp; $B$1 &amp; ".xlsm]data'!$P:$P")))), {1,2,3,3.1,3.2,4,4.1,4.2,4.3,4.4,4.5,5,6,7,8,8.4,9}))</f>
        <v>#REF!</v>
      </c>
      <c r="F47" s="10" t="e">
        <f t="shared" ca="1" si="0"/>
        <v>#REF!</v>
      </c>
      <c r="G47" s="10" t="e">
        <f t="shared" ca="1" si="4"/>
        <v>#REF!</v>
      </c>
      <c r="H47" s="15"/>
      <c r="I47" s="11" t="e">
        <f t="shared" ca="1" si="1"/>
        <v>#REF!</v>
      </c>
    </row>
    <row r="48" spans="1:9" x14ac:dyDescent="0.25">
      <c r="A48" t="s">
        <v>40</v>
      </c>
      <c r="B48" s="10" t="e">
        <f t="shared" ca="1" si="2"/>
        <v>#REF!</v>
      </c>
      <c r="C48" s="13" t="e">
        <f t="shared" ca="1" si="3"/>
        <v>#REF!</v>
      </c>
      <c r="D48" s="11" t="e">
        <f t="shared" ca="1" si="3"/>
        <v>#REF!</v>
      </c>
      <c r="E48" s="10" t="e" cm="1">
        <f t="array" aca="1" ref="E48" ca="1">SUM(COUNTIFS(INDIRECT("'[" &amp; $B$1 &amp; ".xlsm]data'!$H$2:$H" &amp; (COUNTA(INDIRECT("'[" &amp; $B$1 &amp; ".xlsm]data'!$H:$H")))), $A48, INDIRECT("'[" &amp; $B$1 &amp; ".xlsm]data'!$P$2:$P" &amp; (COUNTA(INDIRECT("'[" &amp; $B$1 &amp; ".xlsm]data'!$P:$P")))), {1,2,3,3.1,3.2,4,4.1,4.2,4.3,4.4,4.5,5,6,7,8,8.4,9}))</f>
        <v>#REF!</v>
      </c>
      <c r="F48" s="10" t="e">
        <f t="shared" ca="1" si="0"/>
        <v>#REF!</v>
      </c>
      <c r="G48" s="10" t="e">
        <f t="shared" ca="1" si="4"/>
        <v>#REF!</v>
      </c>
      <c r="H48" s="15"/>
      <c r="I48" s="11" t="e">
        <f t="shared" ca="1" si="1"/>
        <v>#REF!</v>
      </c>
    </row>
    <row r="49" spans="1:9" x14ac:dyDescent="0.25">
      <c r="A49" t="s">
        <v>41</v>
      </c>
      <c r="B49" s="10" t="e">
        <f t="shared" ca="1" si="2"/>
        <v>#REF!</v>
      </c>
      <c r="C49" s="13" t="e">
        <f t="shared" ca="1" si="3"/>
        <v>#REF!</v>
      </c>
      <c r="D49" s="11" t="e">
        <f t="shared" ca="1" si="3"/>
        <v>#REF!</v>
      </c>
      <c r="E49" s="10" t="e" cm="1">
        <f t="array" aca="1" ref="E49" ca="1">SUM(COUNTIFS(INDIRECT("'[" &amp; $B$1 &amp; ".xlsm]data'!$H$2:$H" &amp; (COUNTA(INDIRECT("'[" &amp; $B$1 &amp; ".xlsm]data'!$H:$H")))), $A49, INDIRECT("'[" &amp; $B$1 &amp; ".xlsm]data'!$P$2:$P" &amp; (COUNTA(INDIRECT("'[" &amp; $B$1 &amp; ".xlsm]data'!$P:$P")))), {1,2,3,3.1,3.2,4,4.1,4.2,4.3,4.4,4.5,5,6,7,8,8.4,9}))</f>
        <v>#REF!</v>
      </c>
      <c r="F49" s="10" t="e">
        <f t="shared" ca="1" si="0"/>
        <v>#REF!</v>
      </c>
      <c r="G49" s="10" t="e">
        <f t="shared" ca="1" si="4"/>
        <v>#REF!</v>
      </c>
      <c r="H49" s="15"/>
      <c r="I49" s="11" t="e">
        <f t="shared" ca="1" si="1"/>
        <v>#REF!</v>
      </c>
    </row>
    <row r="50" spans="1:9" x14ac:dyDescent="0.25">
      <c r="A50" t="s">
        <v>42</v>
      </c>
      <c r="B50" s="10" t="e">
        <f t="shared" ca="1" si="2"/>
        <v>#REF!</v>
      </c>
      <c r="C50" s="13" t="e">
        <f t="shared" ca="1" si="3"/>
        <v>#REF!</v>
      </c>
      <c r="D50" s="11" t="e">
        <f t="shared" ca="1" si="3"/>
        <v>#REF!</v>
      </c>
      <c r="E50" s="10" t="e" cm="1">
        <f t="array" aca="1" ref="E50" ca="1">SUM(COUNTIFS(INDIRECT("'[" &amp; $B$1 &amp; ".xlsm]data'!$H$2:$H" &amp; (COUNTA(INDIRECT("'[" &amp; $B$1 &amp; ".xlsm]data'!$H:$H")))), $A50, INDIRECT("'[" &amp; $B$1 &amp; ".xlsm]data'!$P$2:$P" &amp; (COUNTA(INDIRECT("'[" &amp; $B$1 &amp; ".xlsm]data'!$P:$P")))), {1,2,3,3.1,3.2,4,4.1,4.2,4.3,4.4,4.5,5,6,7,8,8.4,9}))</f>
        <v>#REF!</v>
      </c>
      <c r="F50" s="10" t="e">
        <f t="shared" ca="1" si="0"/>
        <v>#REF!</v>
      </c>
      <c r="G50" s="10" t="e">
        <f t="shared" ca="1" si="4"/>
        <v>#REF!</v>
      </c>
      <c r="H50" s="15"/>
      <c r="I50" s="11" t="e">
        <f t="shared" ca="1" si="1"/>
        <v>#REF!</v>
      </c>
    </row>
    <row r="51" spans="1:9" x14ac:dyDescent="0.25">
      <c r="A51" t="s">
        <v>43</v>
      </c>
      <c r="B51" s="10" t="e">
        <f t="shared" ca="1" si="2"/>
        <v>#REF!</v>
      </c>
      <c r="C51" s="13" t="e">
        <f t="shared" ca="1" si="3"/>
        <v>#REF!</v>
      </c>
      <c r="D51" s="11" t="e">
        <f t="shared" ca="1" si="3"/>
        <v>#REF!</v>
      </c>
      <c r="E51" s="10" t="e" cm="1">
        <f t="array" aca="1" ref="E51" ca="1">SUM(COUNTIFS(INDIRECT("'[" &amp; $B$1 &amp; ".xlsm]data'!$H$2:$H" &amp; (COUNTA(INDIRECT("'[" &amp; $B$1 &amp; ".xlsm]data'!$H:$H")))), $A51, INDIRECT("'[" &amp; $B$1 &amp; ".xlsm]data'!$P$2:$P" &amp; (COUNTA(INDIRECT("'[" &amp; $B$1 &amp; ".xlsm]data'!$P:$P")))), {1,2,3,3.1,3.2,4,4.1,4.2,4.3,4.4,4.5,5,6,7,8,8.4,9}))</f>
        <v>#REF!</v>
      </c>
      <c r="F51" s="10" t="e">
        <f t="shared" ca="1" si="0"/>
        <v>#REF!</v>
      </c>
      <c r="G51" s="10" t="e">
        <f t="shared" ca="1" si="4"/>
        <v>#REF!</v>
      </c>
      <c r="H51" s="15"/>
      <c r="I51" s="11" t="e">
        <f t="shared" ca="1" si="1"/>
        <v>#REF!</v>
      </c>
    </row>
    <row r="52" spans="1:9" x14ac:dyDescent="0.25">
      <c r="A52" t="s">
        <v>44</v>
      </c>
      <c r="B52" s="10" t="e">
        <f t="shared" ca="1" si="2"/>
        <v>#REF!</v>
      </c>
      <c r="C52" s="13" t="e">
        <f t="shared" ca="1" si="3"/>
        <v>#REF!</v>
      </c>
      <c r="D52" s="11" t="e">
        <f t="shared" ca="1" si="3"/>
        <v>#REF!</v>
      </c>
      <c r="E52" s="10" t="e" cm="1">
        <f t="array" aca="1" ref="E52" ca="1">SUM(COUNTIFS(INDIRECT("'[" &amp; $B$1 &amp; ".xlsm]data'!$H$2:$H" &amp; (COUNTA(INDIRECT("'[" &amp; $B$1 &amp; ".xlsm]data'!$H:$H")))), $A52, INDIRECT("'[" &amp; $B$1 &amp; ".xlsm]data'!$P$2:$P" &amp; (COUNTA(INDIRECT("'[" &amp; $B$1 &amp; ".xlsm]data'!$P:$P")))), {1,2,3,3.1,3.2,4,4.1,4.2,4.3,4.4,4.5,5,6,7,8,8.4,9}))</f>
        <v>#REF!</v>
      </c>
      <c r="F52" s="10" t="e">
        <f t="shared" ca="1" si="0"/>
        <v>#REF!</v>
      </c>
      <c r="G52" s="10" t="e">
        <f t="shared" ca="1" si="4"/>
        <v>#REF!</v>
      </c>
      <c r="H52" s="15"/>
      <c r="I52" s="11" t="e">
        <f t="shared" ca="1" si="1"/>
        <v>#REF!</v>
      </c>
    </row>
    <row r="53" spans="1:9" x14ac:dyDescent="0.25">
      <c r="A53" t="s">
        <v>45</v>
      </c>
      <c r="B53" s="10" t="e">
        <f t="shared" ca="1" si="2"/>
        <v>#REF!</v>
      </c>
      <c r="C53" s="13" t="e">
        <f t="shared" ca="1" si="3"/>
        <v>#REF!</v>
      </c>
      <c r="D53" s="11" t="e">
        <f t="shared" ca="1" si="3"/>
        <v>#REF!</v>
      </c>
      <c r="E53" s="10" t="e" cm="1">
        <f t="array" aca="1" ref="E53" ca="1">SUM(COUNTIFS(INDIRECT("'[" &amp; $B$1 &amp; ".xlsm]data'!$H$2:$H" &amp; (COUNTA(INDIRECT("'[" &amp; $B$1 &amp; ".xlsm]data'!$H:$H")))), $A53, INDIRECT("'[" &amp; $B$1 &amp; ".xlsm]data'!$P$2:$P" &amp; (COUNTA(INDIRECT("'[" &amp; $B$1 &amp; ".xlsm]data'!$P:$P")))), {1,2,3,3.1,3.2,4,4.1,4.2,4.3,4.4,4.5,5,6,7,8,8.4,9}))</f>
        <v>#REF!</v>
      </c>
      <c r="F53" s="10" t="e">
        <f t="shared" ca="1" si="0"/>
        <v>#REF!</v>
      </c>
      <c r="G53" s="10" t="e">
        <f t="shared" ca="1" si="4"/>
        <v>#REF!</v>
      </c>
      <c r="H53" s="15"/>
      <c r="I53" s="11" t="e">
        <f t="shared" ca="1" si="1"/>
        <v>#REF!</v>
      </c>
    </row>
    <row r="54" spans="1:9" x14ac:dyDescent="0.25">
      <c r="A54" t="s">
        <v>46</v>
      </c>
      <c r="B54" s="10" t="e">
        <f t="shared" ca="1" si="2"/>
        <v>#REF!</v>
      </c>
      <c r="C54" s="13" t="e">
        <f t="shared" ca="1" si="3"/>
        <v>#REF!</v>
      </c>
      <c r="D54" s="11" t="e">
        <f t="shared" ca="1" si="3"/>
        <v>#REF!</v>
      </c>
      <c r="E54" s="10" t="e" cm="1">
        <f t="array" aca="1" ref="E54" ca="1">SUM(COUNTIFS(INDIRECT("'[" &amp; $B$1 &amp; ".xlsm]data'!$H$2:$H" &amp; (COUNTA(INDIRECT("'[" &amp; $B$1 &amp; ".xlsm]data'!$H:$H")))), $A54, INDIRECT("'[" &amp; $B$1 &amp; ".xlsm]data'!$P$2:$P" &amp; (COUNTA(INDIRECT("'[" &amp; $B$1 &amp; ".xlsm]data'!$P:$P")))), {1,2,3,3.1,3.2,4,4.1,4.2,4.3,4.4,4.5,5,6,7,8,8.4,9}))</f>
        <v>#REF!</v>
      </c>
      <c r="F54" s="10" t="e">
        <f t="shared" ca="1" si="0"/>
        <v>#REF!</v>
      </c>
      <c r="G54" s="10" t="e">
        <f t="shared" ca="1" si="4"/>
        <v>#REF!</v>
      </c>
      <c r="H54" s="15"/>
      <c r="I54" s="11" t="e">
        <f t="shared" ca="1" si="1"/>
        <v>#REF!</v>
      </c>
    </row>
    <row r="55" spans="1:9" x14ac:dyDescent="0.25">
      <c r="A55" t="s">
        <v>47</v>
      </c>
      <c r="B55" s="10" t="e">
        <f t="shared" ca="1" si="2"/>
        <v>#REF!</v>
      </c>
      <c r="C55" s="13" t="e">
        <f t="shared" ca="1" si="3"/>
        <v>#REF!</v>
      </c>
      <c r="D55" s="11" t="e">
        <f t="shared" ca="1" si="3"/>
        <v>#REF!</v>
      </c>
      <c r="E55" s="10" t="e" cm="1">
        <f t="array" aca="1" ref="E55" ca="1">SUM(COUNTIFS(INDIRECT("'[" &amp; $B$1 &amp; ".xlsm]data'!$H$2:$H" &amp; (COUNTA(INDIRECT("'[" &amp; $B$1 &amp; ".xlsm]data'!$H:$H")))), $A55, INDIRECT("'[" &amp; $B$1 &amp; ".xlsm]data'!$P$2:$P" &amp; (COUNTA(INDIRECT("'[" &amp; $B$1 &amp; ".xlsm]data'!$P:$P")))), {1,2,3,3.1,3.2,4,4.1,4.2,4.3,4.4,4.5,5,6,7,8,8.4,9}))</f>
        <v>#REF!</v>
      </c>
      <c r="F55" s="10" t="e">
        <f t="shared" ca="1" si="0"/>
        <v>#REF!</v>
      </c>
      <c r="G55" s="10" t="e">
        <f t="shared" ca="1" si="4"/>
        <v>#REF!</v>
      </c>
      <c r="H55" s="15"/>
      <c r="I55" s="11" t="e">
        <f t="shared" ca="1" si="1"/>
        <v>#REF!</v>
      </c>
    </row>
    <row r="56" spans="1:9" x14ac:dyDescent="0.25">
      <c r="A56" t="s">
        <v>48</v>
      </c>
      <c r="B56" s="10" t="e">
        <f t="shared" ca="1" si="2"/>
        <v>#REF!</v>
      </c>
      <c r="C56" s="13" t="e">
        <f t="shared" ca="1" si="3"/>
        <v>#REF!</v>
      </c>
      <c r="D56" s="11" t="e">
        <f t="shared" ca="1" si="3"/>
        <v>#REF!</v>
      </c>
      <c r="E56" s="10" t="e" cm="1">
        <f t="array" aca="1" ref="E56" ca="1">SUM(COUNTIFS(INDIRECT("'[" &amp; $B$1 &amp; ".xlsm]data'!$H$2:$H" &amp; (COUNTA(INDIRECT("'[" &amp; $B$1 &amp; ".xlsm]data'!$H:$H")))), $A56, INDIRECT("'[" &amp; $B$1 &amp; ".xlsm]data'!$P$2:$P" &amp; (COUNTA(INDIRECT("'[" &amp; $B$1 &amp; ".xlsm]data'!$P:$P")))), {1,2,3,3.1,3.2,4,4.1,4.2,4.3,4.4,4.5,5,6,7,8,8.4,9}))</f>
        <v>#REF!</v>
      </c>
      <c r="F56" s="10" t="e">
        <f t="shared" ca="1" si="0"/>
        <v>#REF!</v>
      </c>
      <c r="G56" s="10" t="e">
        <f t="shared" ca="1" si="4"/>
        <v>#REF!</v>
      </c>
      <c r="H56" s="15"/>
      <c r="I56" s="11" t="e">
        <f t="shared" ca="1" si="1"/>
        <v>#REF!</v>
      </c>
    </row>
    <row r="57" spans="1:9" x14ac:dyDescent="0.25">
      <c r="A57" t="s">
        <v>49</v>
      </c>
      <c r="B57" s="10" t="e">
        <f t="shared" ca="1" si="2"/>
        <v>#REF!</v>
      </c>
      <c r="C57" s="13" t="e">
        <f t="shared" ca="1" si="3"/>
        <v>#REF!</v>
      </c>
      <c r="D57" s="11" t="e">
        <f t="shared" ca="1" si="3"/>
        <v>#REF!</v>
      </c>
      <c r="E57" s="10" t="e" cm="1">
        <f t="array" aca="1" ref="E57" ca="1">SUM(COUNTIFS(INDIRECT("'[" &amp; $B$1 &amp; ".xlsm]data'!$H$2:$H" &amp; (COUNTA(INDIRECT("'[" &amp; $B$1 &amp; ".xlsm]data'!$H:$H")))), $A57, INDIRECT("'[" &amp; $B$1 &amp; ".xlsm]data'!$P$2:$P" &amp; (COUNTA(INDIRECT("'[" &amp; $B$1 &amp; ".xlsm]data'!$P:$P")))), {1,2,3,3.1,3.2,4,4.1,4.2,4.3,4.4,4.5,5,6,7,8,8.4,9}))</f>
        <v>#REF!</v>
      </c>
      <c r="F57" s="10" t="e">
        <f t="shared" ca="1" si="0"/>
        <v>#REF!</v>
      </c>
      <c r="G57" s="10" t="e">
        <f t="shared" ca="1" si="4"/>
        <v>#REF!</v>
      </c>
      <c r="H57" s="15"/>
      <c r="I57" s="11" t="e">
        <f t="shared" ca="1" si="1"/>
        <v>#REF!</v>
      </c>
    </row>
    <row r="58" spans="1:9" x14ac:dyDescent="0.25">
      <c r="A58" t="s">
        <v>50</v>
      </c>
      <c r="B58" s="10" t="e">
        <f t="shared" ca="1" si="2"/>
        <v>#REF!</v>
      </c>
      <c r="C58" s="13" t="e">
        <f t="shared" ca="1" si="3"/>
        <v>#REF!</v>
      </c>
      <c r="D58" s="11" t="e">
        <f t="shared" ca="1" si="3"/>
        <v>#REF!</v>
      </c>
      <c r="E58" s="10" t="e" cm="1">
        <f t="array" aca="1" ref="E58" ca="1">SUM(COUNTIFS(INDIRECT("'[" &amp; $B$1 &amp; ".xlsm]data'!$H$2:$H" &amp; (COUNTA(INDIRECT("'[" &amp; $B$1 &amp; ".xlsm]data'!$H:$H")))), $A58, INDIRECT("'[" &amp; $B$1 &amp; ".xlsm]data'!$P$2:$P" &amp; (COUNTA(INDIRECT("'[" &amp; $B$1 &amp; ".xlsm]data'!$P:$P")))), {1,2,3,3.1,3.2,4,4.1,4.2,4.3,4.4,4.5,5,6,7,8,8.4,9}))</f>
        <v>#REF!</v>
      </c>
      <c r="F58" s="10" t="e">
        <f t="shared" ca="1" si="0"/>
        <v>#REF!</v>
      </c>
      <c r="G58" s="10" t="e">
        <f t="shared" ca="1" si="4"/>
        <v>#REF!</v>
      </c>
      <c r="H58" s="15"/>
      <c r="I58" s="11" t="e">
        <f t="shared" ca="1" si="1"/>
        <v>#REF!</v>
      </c>
    </row>
    <row r="59" spans="1:9" x14ac:dyDescent="0.25">
      <c r="A59" t="s">
        <v>51</v>
      </c>
      <c r="B59" s="10" t="e">
        <f t="shared" ca="1" si="2"/>
        <v>#REF!</v>
      </c>
      <c r="C59" s="13" t="e">
        <f t="shared" ca="1" si="3"/>
        <v>#REF!</v>
      </c>
      <c r="D59" s="11" t="e">
        <f t="shared" ca="1" si="3"/>
        <v>#REF!</v>
      </c>
      <c r="E59" s="10" t="e" cm="1">
        <f t="array" aca="1" ref="E59" ca="1">SUM(COUNTIFS(INDIRECT("'[" &amp; $B$1 &amp; ".xlsm]data'!$H$2:$H" &amp; (COUNTA(INDIRECT("'[" &amp; $B$1 &amp; ".xlsm]data'!$H:$H")))), $A59, INDIRECT("'[" &amp; $B$1 &amp; ".xlsm]data'!$P$2:$P" &amp; (COUNTA(INDIRECT("'[" &amp; $B$1 &amp; ".xlsm]data'!$P:$P")))), {1,2,3,3.1,3.2,4,4.1,4.2,4.3,4.4,4.5,5,6,7,8,8.4,9}))</f>
        <v>#REF!</v>
      </c>
      <c r="F59" s="10" t="e">
        <f t="shared" ca="1" si="0"/>
        <v>#REF!</v>
      </c>
      <c r="G59" s="10" t="e">
        <f t="shared" ca="1" si="4"/>
        <v>#REF!</v>
      </c>
      <c r="H59" s="15"/>
      <c r="I59" s="11" t="e">
        <f t="shared" ca="1" si="1"/>
        <v>#REF!</v>
      </c>
    </row>
    <row r="60" spans="1:9" x14ac:dyDescent="0.25">
      <c r="A60" t="s">
        <v>52</v>
      </c>
      <c r="B60" s="10" t="e">
        <f t="shared" ca="1" si="2"/>
        <v>#REF!</v>
      </c>
      <c r="C60" s="13" t="e">
        <f t="shared" ca="1" si="3"/>
        <v>#REF!</v>
      </c>
      <c r="D60" s="11" t="e">
        <f t="shared" ca="1" si="3"/>
        <v>#REF!</v>
      </c>
      <c r="E60" s="10" t="e" cm="1">
        <f t="array" aca="1" ref="E60" ca="1">SUM(COUNTIFS(INDIRECT("'[" &amp; $B$1 &amp; ".xlsm]data'!$H$2:$H" &amp; (COUNTA(INDIRECT("'[" &amp; $B$1 &amp; ".xlsm]data'!$H:$H")))), $A60, INDIRECT("'[" &amp; $B$1 &amp; ".xlsm]data'!$P$2:$P" &amp; (COUNTA(INDIRECT("'[" &amp; $B$1 &amp; ".xlsm]data'!$P:$P")))), {1,2,3,3.1,3.2,4,4.1,4.2,4.3,4.4,4.5,5,6,7,8,8.4,9}))</f>
        <v>#REF!</v>
      </c>
      <c r="F60" s="10" t="e">
        <f t="shared" ca="1" si="0"/>
        <v>#REF!</v>
      </c>
      <c r="G60" s="10" t="e">
        <f t="shared" ca="1" si="4"/>
        <v>#REF!</v>
      </c>
      <c r="H60" s="15"/>
      <c r="I60" s="11" t="e">
        <f t="shared" ca="1" si="1"/>
        <v>#REF!</v>
      </c>
    </row>
    <row r="61" spans="1:9" x14ac:dyDescent="0.25">
      <c r="A61" t="s">
        <v>53</v>
      </c>
      <c r="B61" s="10" t="e">
        <f t="shared" ca="1" si="2"/>
        <v>#REF!</v>
      </c>
      <c r="C61" s="13" t="e">
        <f t="shared" ca="1" si="3"/>
        <v>#REF!</v>
      </c>
      <c r="D61" s="11" t="e">
        <f t="shared" ca="1" si="3"/>
        <v>#REF!</v>
      </c>
      <c r="E61" s="10" t="e" cm="1">
        <f t="array" aca="1" ref="E61" ca="1">SUM(COUNTIFS(INDIRECT("'[" &amp; $B$1 &amp; ".xlsm]data'!$H$2:$H" &amp; (COUNTA(INDIRECT("'[" &amp; $B$1 &amp; ".xlsm]data'!$H:$H")))), $A61, INDIRECT("'[" &amp; $B$1 &amp; ".xlsm]data'!$P$2:$P" &amp; (COUNTA(INDIRECT("'[" &amp; $B$1 &amp; ".xlsm]data'!$P:$P")))), {1,2,3,3.1,3.2,4,4.1,4.2,4.3,4.4,4.5,5,6,7,8,8.4,9}))</f>
        <v>#REF!</v>
      </c>
      <c r="F61" s="10" t="e">
        <f t="shared" ca="1" si="0"/>
        <v>#REF!</v>
      </c>
      <c r="G61" s="10" t="e">
        <f t="shared" ca="1" si="4"/>
        <v>#REF!</v>
      </c>
      <c r="H61" s="15"/>
      <c r="I61" s="11" t="e">
        <f t="shared" ca="1" si="1"/>
        <v>#REF!</v>
      </c>
    </row>
    <row r="62" spans="1:9" x14ac:dyDescent="0.25">
      <c r="A62" t="s">
        <v>54</v>
      </c>
      <c r="B62" s="10" t="e">
        <f t="shared" ca="1" si="2"/>
        <v>#REF!</v>
      </c>
      <c r="C62" s="13" t="e">
        <f t="shared" ca="1" si="3"/>
        <v>#REF!</v>
      </c>
      <c r="D62" s="11" t="e">
        <f t="shared" ca="1" si="3"/>
        <v>#REF!</v>
      </c>
      <c r="E62" s="10" t="e" cm="1">
        <f t="array" aca="1" ref="E62" ca="1">SUM(COUNTIFS(INDIRECT("'[" &amp; $B$1 &amp; ".xlsm]data'!$H$2:$H" &amp; (COUNTA(INDIRECT("'[" &amp; $B$1 &amp; ".xlsm]data'!$H:$H")))), $A62, INDIRECT("'[" &amp; $B$1 &amp; ".xlsm]data'!$P$2:$P" &amp; (COUNTA(INDIRECT("'[" &amp; $B$1 &amp; ".xlsm]data'!$P:$P")))), {1,2,3,3.1,3.2,4,4.1,4.2,4.3,4.4,4.5,5,6,7,8,8.4,9}))</f>
        <v>#REF!</v>
      </c>
      <c r="F62" s="10" t="e">
        <f t="shared" ca="1" si="0"/>
        <v>#REF!</v>
      </c>
      <c r="G62" s="10" t="e">
        <f t="shared" ca="1" si="4"/>
        <v>#REF!</v>
      </c>
      <c r="H62" s="15"/>
      <c r="I62" s="11" t="e">
        <f t="shared" ca="1" si="1"/>
        <v>#REF!</v>
      </c>
    </row>
    <row r="63" spans="1:9" x14ac:dyDescent="0.25">
      <c r="A63" t="s">
        <v>55</v>
      </c>
      <c r="B63" s="10" t="e">
        <f t="shared" ca="1" si="2"/>
        <v>#REF!</v>
      </c>
      <c r="C63" s="13" t="e">
        <f t="shared" ca="1" si="3"/>
        <v>#REF!</v>
      </c>
      <c r="D63" s="11" t="e">
        <f t="shared" ca="1" si="3"/>
        <v>#REF!</v>
      </c>
      <c r="E63" s="10" t="e" cm="1">
        <f t="array" aca="1" ref="E63" ca="1">SUM(COUNTIFS(INDIRECT("'[" &amp; $B$1 &amp; ".xlsm]data'!$H$2:$H" &amp; (COUNTA(INDIRECT("'[" &amp; $B$1 &amp; ".xlsm]data'!$H:$H")))), $A63, INDIRECT("'[" &amp; $B$1 &amp; ".xlsm]data'!$P$2:$P" &amp; (COUNTA(INDIRECT("'[" &amp; $B$1 &amp; ".xlsm]data'!$P:$P")))), {1,2,3,3.1,3.2,4,4.1,4.2,4.3,4.4,4.5,5,6,7,8,8.4,9}))</f>
        <v>#REF!</v>
      </c>
      <c r="F63" s="10" t="e">
        <f t="shared" ca="1" si="0"/>
        <v>#REF!</v>
      </c>
      <c r="G63" s="10" t="e">
        <f t="shared" ca="1" si="4"/>
        <v>#REF!</v>
      </c>
      <c r="H63" s="15"/>
      <c r="I63" s="11" t="e">
        <f t="shared" ca="1" si="1"/>
        <v>#REF!</v>
      </c>
    </row>
    <row r="64" spans="1:9" x14ac:dyDescent="0.25">
      <c r="A64" t="s">
        <v>56</v>
      </c>
      <c r="B64" s="10" t="e">
        <f t="shared" ca="1" si="2"/>
        <v>#REF!</v>
      </c>
      <c r="C64" s="13" t="e">
        <f t="shared" ca="1" si="3"/>
        <v>#REF!</v>
      </c>
      <c r="D64" s="11" t="e">
        <f t="shared" ca="1" si="3"/>
        <v>#REF!</v>
      </c>
      <c r="E64" s="10" t="e" cm="1">
        <f t="array" aca="1" ref="E64" ca="1">SUM(COUNTIFS(INDIRECT("'[" &amp; $B$1 &amp; ".xlsm]data'!$H$2:$H" &amp; (COUNTA(INDIRECT("'[" &amp; $B$1 &amp; ".xlsm]data'!$H:$H")))), $A64, INDIRECT("'[" &amp; $B$1 &amp; ".xlsm]data'!$P$2:$P" &amp; (COUNTA(INDIRECT("'[" &amp; $B$1 &amp; ".xlsm]data'!$P:$P")))), {1,2,3,3.1,3.2,4,4.1,4.2,4.3,4.4,4.5,5,6,7,8,8.4,9}))</f>
        <v>#REF!</v>
      </c>
      <c r="F64" s="10" t="e">
        <f t="shared" ca="1" si="0"/>
        <v>#REF!</v>
      </c>
      <c r="G64" s="10" t="e">
        <f t="shared" ca="1" si="4"/>
        <v>#REF!</v>
      </c>
      <c r="H64" s="15"/>
      <c r="I64" s="11" t="e">
        <f t="shared" ca="1" si="1"/>
        <v>#REF!</v>
      </c>
    </row>
    <row r="65" spans="1:9" x14ac:dyDescent="0.25">
      <c r="A65" t="s">
        <v>57</v>
      </c>
      <c r="B65" s="10" t="e">
        <f t="shared" ca="1" si="2"/>
        <v>#REF!</v>
      </c>
      <c r="C65" s="13" t="e">
        <f t="shared" ca="1" si="3"/>
        <v>#REF!</v>
      </c>
      <c r="D65" s="11" t="e">
        <f t="shared" ca="1" si="3"/>
        <v>#REF!</v>
      </c>
      <c r="E65" s="10" t="e" cm="1">
        <f t="array" aca="1" ref="E65" ca="1">SUM(COUNTIFS(INDIRECT("'[" &amp; $B$1 &amp; ".xlsm]data'!$H$2:$H" &amp; (COUNTA(INDIRECT("'[" &amp; $B$1 &amp; ".xlsm]data'!$H:$H")))), $A65, INDIRECT("'[" &amp; $B$1 &amp; ".xlsm]data'!$P$2:$P" &amp; (COUNTA(INDIRECT("'[" &amp; $B$1 &amp; ".xlsm]data'!$P:$P")))), {1,2,3,3.1,3.2,4,4.1,4.2,4.3,4.4,4.5,5,6,7,8,8.4,9}))</f>
        <v>#REF!</v>
      </c>
      <c r="F65" s="10" t="e">
        <f t="shared" ca="1" si="0"/>
        <v>#REF!</v>
      </c>
      <c r="G65" s="10" t="e">
        <f t="shared" ca="1" si="4"/>
        <v>#REF!</v>
      </c>
      <c r="H65" s="15"/>
      <c r="I65" s="11" t="e">
        <f t="shared" ca="1" si="1"/>
        <v>#REF!</v>
      </c>
    </row>
    <row r="66" spans="1:9" x14ac:dyDescent="0.25">
      <c r="A66" t="s">
        <v>58</v>
      </c>
      <c r="B66" s="10" t="e">
        <f t="shared" ca="1" si="2"/>
        <v>#REF!</v>
      </c>
      <c r="C66" s="13" t="e">
        <f t="shared" ca="1" si="3"/>
        <v>#REF!</v>
      </c>
      <c r="D66" s="11" t="e">
        <f t="shared" ca="1" si="3"/>
        <v>#REF!</v>
      </c>
      <c r="E66" s="10" t="e" cm="1">
        <f t="array" aca="1" ref="E66" ca="1">SUM(COUNTIFS(INDIRECT("'[" &amp; $B$1 &amp; ".xlsm]data'!$H$2:$H" &amp; (COUNTA(INDIRECT("'[" &amp; $B$1 &amp; ".xlsm]data'!$H:$H")))), $A66, INDIRECT("'[" &amp; $B$1 &amp; ".xlsm]data'!$P$2:$P" &amp; (COUNTA(INDIRECT("'[" &amp; $B$1 &amp; ".xlsm]data'!$P:$P")))), {1,2,3,3.1,3.2,4,4.1,4.2,4.3,4.4,4.5,5,6,7,8,8.4,9}))</f>
        <v>#REF!</v>
      </c>
      <c r="F66" s="10" t="e">
        <f t="shared" ca="1" si="0"/>
        <v>#REF!</v>
      </c>
      <c r="G66" s="10" t="e">
        <f t="shared" ca="1" si="4"/>
        <v>#REF!</v>
      </c>
      <c r="H66" s="15"/>
      <c r="I66" s="11" t="e">
        <f t="shared" ca="1" si="1"/>
        <v>#REF!</v>
      </c>
    </row>
    <row r="67" spans="1:9" x14ac:dyDescent="0.25">
      <c r="A67" t="s">
        <v>59</v>
      </c>
      <c r="B67" s="10" t="e">
        <f t="shared" ca="1" si="2"/>
        <v>#REF!</v>
      </c>
      <c r="C67" s="13" t="e">
        <f t="shared" ca="1" si="3"/>
        <v>#REF!</v>
      </c>
      <c r="D67" s="11" t="e">
        <f t="shared" ca="1" si="3"/>
        <v>#REF!</v>
      </c>
      <c r="E67" s="10" t="e" cm="1">
        <f t="array" aca="1" ref="E67" ca="1">SUM(COUNTIFS(INDIRECT("'[" &amp; $B$1 &amp; ".xlsm]data'!$H$2:$H" &amp; (COUNTA(INDIRECT("'[" &amp; $B$1 &amp; ".xlsm]data'!$H:$H")))), $A67, INDIRECT("'[" &amp; $B$1 &amp; ".xlsm]data'!$P$2:$P" &amp; (COUNTA(INDIRECT("'[" &amp; $B$1 &amp; ".xlsm]data'!$P:$P")))), {1,2,3,3.1,3.2,4,4.1,4.2,4.3,4.4,4.5,5,6,7,8,8.4,9}))</f>
        <v>#REF!</v>
      </c>
      <c r="F67" s="10" t="e">
        <f t="shared" ca="1" si="0"/>
        <v>#REF!</v>
      </c>
      <c r="G67" s="10" t="e">
        <f t="shared" ca="1" si="4"/>
        <v>#REF!</v>
      </c>
      <c r="H67" s="15"/>
      <c r="I67" s="11" t="e">
        <f t="shared" ca="1" si="1"/>
        <v>#REF!</v>
      </c>
    </row>
    <row r="68" spans="1:9" x14ac:dyDescent="0.25">
      <c r="A68" t="s">
        <v>60</v>
      </c>
      <c r="B68" s="10" t="e">
        <f t="shared" ca="1" si="2"/>
        <v>#REF!</v>
      </c>
      <c r="C68" s="13" t="e">
        <f t="shared" ca="1" si="3"/>
        <v>#REF!</v>
      </c>
      <c r="D68" s="11" t="e">
        <f t="shared" ca="1" si="3"/>
        <v>#REF!</v>
      </c>
      <c r="E68" s="10" t="e" cm="1">
        <f t="array" aca="1" ref="E68" ca="1">SUM(COUNTIFS(INDIRECT("'[" &amp; $B$1 &amp; ".xlsm]data'!$H$2:$H" &amp; (COUNTA(INDIRECT("'[" &amp; $B$1 &amp; ".xlsm]data'!$H:$H")))), $A68, INDIRECT("'[" &amp; $B$1 &amp; ".xlsm]data'!$P$2:$P" &amp; (COUNTA(INDIRECT("'[" &amp; $B$1 &amp; ".xlsm]data'!$P:$P")))), {1,2,3,3.1,3.2,4,4.1,4.2,4.3,4.4,4.5,5,6,7,8,8.4,9}))</f>
        <v>#REF!</v>
      </c>
      <c r="F68" s="10" t="e">
        <f t="shared" ca="1" si="0"/>
        <v>#REF!</v>
      </c>
      <c r="G68" s="10" t="e">
        <f t="shared" ca="1" si="4"/>
        <v>#REF!</v>
      </c>
      <c r="H68" s="15"/>
      <c r="I68" s="11" t="e">
        <f t="shared" ca="1" si="1"/>
        <v>#REF!</v>
      </c>
    </row>
    <row r="69" spans="1:9" x14ac:dyDescent="0.25">
      <c r="A69" t="s">
        <v>61</v>
      </c>
      <c r="B69" s="10" t="e">
        <f t="shared" ca="1" si="2"/>
        <v>#REF!</v>
      </c>
      <c r="C69" s="13" t="e">
        <f t="shared" ca="1" si="3"/>
        <v>#REF!</v>
      </c>
      <c r="D69" s="11" t="e">
        <f t="shared" ca="1" si="3"/>
        <v>#REF!</v>
      </c>
      <c r="E69" s="10" t="e" cm="1">
        <f t="array" aca="1" ref="E69" ca="1">SUM(COUNTIFS(INDIRECT("'[" &amp; $B$1 &amp; ".xlsm]data'!$H$2:$H" &amp; (COUNTA(INDIRECT("'[" &amp; $B$1 &amp; ".xlsm]data'!$H:$H")))), $A69, INDIRECT("'[" &amp; $B$1 &amp; ".xlsm]data'!$P$2:$P" &amp; (COUNTA(INDIRECT("'[" &amp; $B$1 &amp; ".xlsm]data'!$P:$P")))), {1,2,3,3.1,3.2,4,4.1,4.2,4.3,4.4,4.5,5,6,7,8,8.4,9}))</f>
        <v>#REF!</v>
      </c>
      <c r="F69" s="10" t="e">
        <f t="shared" ca="1" si="0"/>
        <v>#REF!</v>
      </c>
      <c r="G69" s="10" t="e">
        <f t="shared" ca="1" si="4"/>
        <v>#REF!</v>
      </c>
      <c r="H69" s="15"/>
      <c r="I69" s="11" t="e">
        <f t="shared" ca="1" si="1"/>
        <v>#REF!</v>
      </c>
    </row>
    <row r="70" spans="1:9" x14ac:dyDescent="0.25">
      <c r="A70" t="s">
        <v>62</v>
      </c>
      <c r="B70" s="10" t="e">
        <f t="shared" ca="1" si="2"/>
        <v>#REF!</v>
      </c>
      <c r="C70" s="13" t="e">
        <f t="shared" ca="1" si="3"/>
        <v>#REF!</v>
      </c>
      <c r="D70" s="11" t="e">
        <f t="shared" ca="1" si="3"/>
        <v>#REF!</v>
      </c>
      <c r="E70" s="10" t="e" cm="1">
        <f t="array" aca="1" ref="E70" ca="1">SUM(COUNTIFS(INDIRECT("'[" &amp; $B$1 &amp; ".xlsm]data'!$H$2:$H" &amp; (COUNTA(INDIRECT("'[" &amp; $B$1 &amp; ".xlsm]data'!$H:$H")))), $A70, INDIRECT("'[" &amp; $B$1 &amp; ".xlsm]data'!$P$2:$P" &amp; (COUNTA(INDIRECT("'[" &amp; $B$1 &amp; ".xlsm]data'!$P:$P")))), {1,2,3,3.1,3.2,4,4.1,4.2,4.3,4.4,4.5,5,6,7,8,8.4,9}))</f>
        <v>#REF!</v>
      </c>
      <c r="F70" s="10" t="e">
        <f t="shared" ca="1" si="0"/>
        <v>#REF!</v>
      </c>
      <c r="G70" s="10" t="e">
        <f t="shared" ca="1" si="4"/>
        <v>#REF!</v>
      </c>
      <c r="H70" s="15"/>
      <c r="I70" s="11" t="e">
        <f t="shared" ca="1" si="1"/>
        <v>#REF!</v>
      </c>
    </row>
    <row r="71" spans="1:9" x14ac:dyDescent="0.25">
      <c r="A71" t="s">
        <v>63</v>
      </c>
      <c r="B71" s="10" t="e">
        <f t="shared" ca="1" si="2"/>
        <v>#REF!</v>
      </c>
      <c r="C71" s="13" t="e">
        <f t="shared" ca="1" si="3"/>
        <v>#REF!</v>
      </c>
      <c r="D71" s="11" t="e">
        <f t="shared" ca="1" si="3"/>
        <v>#REF!</v>
      </c>
      <c r="E71" s="10" t="e" cm="1">
        <f t="array" aca="1" ref="E71" ca="1">SUM(COUNTIFS(INDIRECT("'[" &amp; $B$1 &amp; ".xlsm]data'!$H$2:$H" &amp; (COUNTA(INDIRECT("'[" &amp; $B$1 &amp; ".xlsm]data'!$H:$H")))), $A71, INDIRECT("'[" &amp; $B$1 &amp; ".xlsm]data'!$P$2:$P" &amp; (COUNTA(INDIRECT("'[" &amp; $B$1 &amp; ".xlsm]data'!$P:$P")))), {1,2,3,3.1,3.2,4,4.1,4.2,4.3,4.4,4.5,5,6,7,8,8.4,9}))</f>
        <v>#REF!</v>
      </c>
      <c r="F71" s="10" t="e">
        <f t="shared" ca="1" si="0"/>
        <v>#REF!</v>
      </c>
      <c r="G71" s="10" t="e">
        <f t="shared" ca="1" si="4"/>
        <v>#REF!</v>
      </c>
      <c r="H71" s="15"/>
      <c r="I71" s="11" t="e">
        <f t="shared" ca="1" si="1"/>
        <v>#REF!</v>
      </c>
    </row>
    <row r="72" spans="1:9" x14ac:dyDescent="0.25">
      <c r="A72" t="s">
        <v>64</v>
      </c>
      <c r="B72" s="10" t="e">
        <f t="shared" ca="1" si="2"/>
        <v>#REF!</v>
      </c>
      <c r="C72" s="13" t="e">
        <f t="shared" ca="1" si="3"/>
        <v>#REF!</v>
      </c>
      <c r="D72" s="11" t="e">
        <f t="shared" ca="1" si="3"/>
        <v>#REF!</v>
      </c>
      <c r="E72" s="10" t="e" cm="1">
        <f t="array" aca="1" ref="E72" ca="1">SUM(COUNTIFS(INDIRECT("'[" &amp; $B$1 &amp; ".xlsm]data'!$H$2:$H" &amp; (COUNTA(INDIRECT("'[" &amp; $B$1 &amp; ".xlsm]data'!$H:$H")))), $A72, INDIRECT("'[" &amp; $B$1 &amp; ".xlsm]data'!$P$2:$P" &amp; (COUNTA(INDIRECT("'[" &amp; $B$1 &amp; ".xlsm]data'!$P:$P")))), {1,2,3,3.1,3.2,4,4.1,4.2,4.3,4.4,4.5,5,6,7,8,8.4,9}))</f>
        <v>#REF!</v>
      </c>
      <c r="F72" s="10" t="e">
        <f t="shared" ca="1" si="0"/>
        <v>#REF!</v>
      </c>
      <c r="G72" s="10" t="e">
        <f t="shared" ca="1" si="4"/>
        <v>#REF!</v>
      </c>
      <c r="H72" s="15"/>
      <c r="I72" s="11" t="e">
        <f t="shared" ca="1" si="1"/>
        <v>#REF!</v>
      </c>
    </row>
    <row r="73" spans="1:9" x14ac:dyDescent="0.25">
      <c r="A73" t="s">
        <v>65</v>
      </c>
      <c r="B73" s="10" t="e">
        <f t="shared" ca="1" si="2"/>
        <v>#REF!</v>
      </c>
      <c r="C73" s="13" t="e">
        <f t="shared" ca="1" si="3"/>
        <v>#REF!</v>
      </c>
      <c r="D73" s="11" t="e">
        <f t="shared" ca="1" si="3"/>
        <v>#REF!</v>
      </c>
      <c r="E73" s="10" t="e" cm="1">
        <f t="array" aca="1" ref="E73" ca="1">SUM(COUNTIFS(INDIRECT("'[" &amp; $B$1 &amp; ".xlsm]data'!$H$2:$H" &amp; (COUNTA(INDIRECT("'[" &amp; $B$1 &amp; ".xlsm]data'!$H:$H")))), $A73, INDIRECT("'[" &amp; $B$1 &amp; ".xlsm]data'!$P$2:$P" &amp; (COUNTA(INDIRECT("'[" &amp; $B$1 &amp; ".xlsm]data'!$P:$P")))), {1,2,3,3.1,3.2,4,4.1,4.2,4.3,4.4,4.5,5,6,7,8,8.4,9}))</f>
        <v>#REF!</v>
      </c>
      <c r="F73" s="10" t="e">
        <f t="shared" ca="1" si="0"/>
        <v>#REF!</v>
      </c>
      <c r="G73" s="10" t="e">
        <f t="shared" ca="1" si="4"/>
        <v>#REF!</v>
      </c>
      <c r="H73" s="15"/>
      <c r="I73" s="11" t="e">
        <f t="shared" ca="1" si="1"/>
        <v>#REF!</v>
      </c>
    </row>
    <row r="74" spans="1:9" x14ac:dyDescent="0.25">
      <c r="A74" t="s">
        <v>66</v>
      </c>
      <c r="B74" s="10" t="e">
        <f t="shared" ca="1" si="2"/>
        <v>#REF!</v>
      </c>
      <c r="C74" s="13" t="e">
        <f t="shared" ca="1" si="3"/>
        <v>#REF!</v>
      </c>
      <c r="D74" s="11" t="e">
        <f t="shared" ca="1" si="3"/>
        <v>#REF!</v>
      </c>
      <c r="E74" s="10" t="e" cm="1">
        <f t="array" aca="1" ref="E74" ca="1">SUM(COUNTIFS(INDIRECT("'[" &amp; $B$1 &amp; ".xlsm]data'!$H$2:$H" &amp; (COUNTA(INDIRECT("'[" &amp; $B$1 &amp; ".xlsm]data'!$H:$H")))), $A74, INDIRECT("'[" &amp; $B$1 &amp; ".xlsm]data'!$P$2:$P" &amp; (COUNTA(INDIRECT("'[" &amp; $B$1 &amp; ".xlsm]data'!$P:$P")))), {1,2,3,3.1,3.2,4,4.1,4.2,4.3,4.4,4.5,5,6,7,8,8.4,9}))</f>
        <v>#REF!</v>
      </c>
      <c r="F74" s="10" t="e">
        <f t="shared" ref="F74:F137" ca="1" si="5">COUNTIFS(INDIRECT("[" &amp; $B$1 &amp; ".xlsm]data!$H:$H"), $A74, (INDIRECT("[" &amp; $B$1 &amp; ".xlsm]data!$V:$V")),"")</f>
        <v>#REF!</v>
      </c>
      <c r="G74" s="10" t="e">
        <f t="shared" ca="1" si="4"/>
        <v>#REF!</v>
      </c>
      <c r="H74" s="15"/>
      <c r="I74" s="11" t="e">
        <f t="shared" ref="I74:I137" ca="1" si="6">IF(B74&lt;&gt;G74, "no", "yes")</f>
        <v>#REF!</v>
      </c>
    </row>
    <row r="75" spans="1:9" x14ac:dyDescent="0.25">
      <c r="A75" t="s">
        <v>67</v>
      </c>
      <c r="B75" s="10" t="e">
        <f t="shared" ref="B75:B138" ca="1" si="7">COUNTIF(INDIRECT("'[" &amp; $B$1 &amp; ".xlsm]data'!$I:$I"), $A75)</f>
        <v>#REF!</v>
      </c>
      <c r="C75" s="13" t="e">
        <f t="shared" ref="C75:D106" ca="1" si="8">COUNTIFS(INDIRECT("'[" &amp; $B$1 &amp; ".xlsm]data'!$I:$I"), $A75,(INDIRECT("'[" &amp; $B$1 &amp; ".xlsm]data'!$A:$A")), C$8)</f>
        <v>#REF!</v>
      </c>
      <c r="D75" s="11" t="e">
        <f t="shared" ca="1" si="8"/>
        <v>#REF!</v>
      </c>
      <c r="E75" s="10" t="e" cm="1">
        <f t="array" aca="1" ref="E75" ca="1">SUM(COUNTIFS(INDIRECT("'[" &amp; $B$1 &amp; ".xlsm]data'!$H$2:$H" &amp; (COUNTA(INDIRECT("'[" &amp; $B$1 &amp; ".xlsm]data'!$H:$H")))), $A75, INDIRECT("'[" &amp; $B$1 &amp; ".xlsm]data'!$P$2:$P" &amp; (COUNTA(INDIRECT("'[" &amp; $B$1 &amp; ".xlsm]data'!$P:$P")))), {1,2,3,3.1,3.2,4,4.1,4.2,4.3,4.4,4.5,5,6,7,8,8.4,9}))</f>
        <v>#REF!</v>
      </c>
      <c r="F75" s="10" t="e">
        <f t="shared" ca="1" si="5"/>
        <v>#REF!</v>
      </c>
      <c r="G75" s="10" t="e">
        <f t="shared" ref="G75:G138" ca="1" si="9">COUNTIF(INDIRECT("'[" &amp; $B$2 &amp; ".xlsx]Sheet2'!" &amp; "$H:$H"), $A75)</f>
        <v>#REF!</v>
      </c>
      <c r="H75" s="15"/>
      <c r="I75" s="11" t="e">
        <f t="shared" ca="1" si="6"/>
        <v>#REF!</v>
      </c>
    </row>
    <row r="76" spans="1:9" x14ac:dyDescent="0.25">
      <c r="A76" t="s">
        <v>68</v>
      </c>
      <c r="B76" s="10" t="e">
        <f t="shared" ca="1" si="7"/>
        <v>#REF!</v>
      </c>
      <c r="C76" s="13" t="e">
        <f t="shared" ca="1" si="8"/>
        <v>#REF!</v>
      </c>
      <c r="D76" s="11" t="e">
        <f t="shared" ca="1" si="8"/>
        <v>#REF!</v>
      </c>
      <c r="E76" s="10" t="e" cm="1">
        <f t="array" aca="1" ref="E76" ca="1">SUM(COUNTIFS(INDIRECT("'[" &amp; $B$1 &amp; ".xlsm]data'!$H$2:$H" &amp; (COUNTA(INDIRECT("'[" &amp; $B$1 &amp; ".xlsm]data'!$H:$H")))), $A76, INDIRECT("'[" &amp; $B$1 &amp; ".xlsm]data'!$P$2:$P" &amp; (COUNTA(INDIRECT("'[" &amp; $B$1 &amp; ".xlsm]data'!$P:$P")))), {1,2,3,3.1,3.2,4,4.1,4.2,4.3,4.4,4.5,5,6,7,8,8.4,9}))</f>
        <v>#REF!</v>
      </c>
      <c r="F76" s="10" t="e">
        <f t="shared" ca="1" si="5"/>
        <v>#REF!</v>
      </c>
      <c r="G76" s="10" t="e">
        <f t="shared" ca="1" si="9"/>
        <v>#REF!</v>
      </c>
      <c r="H76" s="15"/>
      <c r="I76" s="11" t="e">
        <f t="shared" ca="1" si="6"/>
        <v>#REF!</v>
      </c>
    </row>
    <row r="77" spans="1:9" x14ac:dyDescent="0.25">
      <c r="A77" t="s">
        <v>69</v>
      </c>
      <c r="B77" s="10" t="e">
        <f t="shared" ca="1" si="7"/>
        <v>#REF!</v>
      </c>
      <c r="C77" s="13" t="e">
        <f t="shared" ca="1" si="8"/>
        <v>#REF!</v>
      </c>
      <c r="D77" s="11" t="e">
        <f t="shared" ca="1" si="8"/>
        <v>#REF!</v>
      </c>
      <c r="E77" s="10" t="e" cm="1">
        <f t="array" aca="1" ref="E77" ca="1">SUM(COUNTIFS(INDIRECT("'[" &amp; $B$1 &amp; ".xlsm]data'!$H$2:$H" &amp; (COUNTA(INDIRECT("'[" &amp; $B$1 &amp; ".xlsm]data'!$H:$H")))), $A77, INDIRECT("'[" &amp; $B$1 &amp; ".xlsm]data'!$P$2:$P" &amp; (COUNTA(INDIRECT("'[" &amp; $B$1 &amp; ".xlsm]data'!$P:$P")))), {1,2,3,3.1,3.2,4,4.1,4.2,4.3,4.4,4.5,5,6,7,8,8.4,9}))</f>
        <v>#REF!</v>
      </c>
      <c r="F77" s="10" t="e">
        <f t="shared" ca="1" si="5"/>
        <v>#REF!</v>
      </c>
      <c r="G77" s="10" t="e">
        <f t="shared" ca="1" si="9"/>
        <v>#REF!</v>
      </c>
      <c r="H77" s="15"/>
      <c r="I77" s="11" t="e">
        <f t="shared" ca="1" si="6"/>
        <v>#REF!</v>
      </c>
    </row>
    <row r="78" spans="1:9" x14ac:dyDescent="0.25">
      <c r="A78" t="s">
        <v>70</v>
      </c>
      <c r="B78" s="10" t="e">
        <f t="shared" ca="1" si="7"/>
        <v>#REF!</v>
      </c>
      <c r="C78" s="13" t="e">
        <f t="shared" ca="1" si="8"/>
        <v>#REF!</v>
      </c>
      <c r="D78" s="11" t="e">
        <f t="shared" ca="1" si="8"/>
        <v>#REF!</v>
      </c>
      <c r="E78" s="10" t="e" cm="1">
        <f t="array" aca="1" ref="E78" ca="1">SUM(COUNTIFS(INDIRECT("'[" &amp; $B$1 &amp; ".xlsm]data'!$H$2:$H" &amp; (COUNTA(INDIRECT("'[" &amp; $B$1 &amp; ".xlsm]data'!$H:$H")))), $A78, INDIRECT("'[" &amp; $B$1 &amp; ".xlsm]data'!$P$2:$P" &amp; (COUNTA(INDIRECT("'[" &amp; $B$1 &amp; ".xlsm]data'!$P:$P")))), {1,2,3,3.1,3.2,4,4.1,4.2,4.3,4.4,4.5,5,6,7,8,8.4,9}))</f>
        <v>#REF!</v>
      </c>
      <c r="F78" s="10" t="e">
        <f t="shared" ca="1" si="5"/>
        <v>#REF!</v>
      </c>
      <c r="G78" s="10" t="e">
        <f t="shared" ca="1" si="9"/>
        <v>#REF!</v>
      </c>
      <c r="H78" s="15"/>
      <c r="I78" s="11" t="e">
        <f t="shared" ca="1" si="6"/>
        <v>#REF!</v>
      </c>
    </row>
    <row r="79" spans="1:9" x14ac:dyDescent="0.25">
      <c r="A79" t="s">
        <v>240</v>
      </c>
      <c r="B79" s="10" t="e">
        <f t="shared" ca="1" si="7"/>
        <v>#REF!</v>
      </c>
      <c r="C79" s="13" t="e">
        <f t="shared" ca="1" si="8"/>
        <v>#REF!</v>
      </c>
      <c r="D79" s="11" t="e">
        <f t="shared" ca="1" si="8"/>
        <v>#REF!</v>
      </c>
      <c r="E79" s="10" t="e" cm="1">
        <f t="array" aca="1" ref="E79" ca="1">SUM(COUNTIFS(INDIRECT("'[" &amp; $B$1 &amp; ".xlsm]data'!$H$2:$H" &amp; (COUNTA(INDIRECT("'[" &amp; $B$1 &amp; ".xlsm]data'!$H:$H")))), $A79, INDIRECT("'[" &amp; $B$1 &amp; ".xlsm]data'!$P$2:$P" &amp; (COUNTA(INDIRECT("'[" &amp; $B$1 &amp; ".xlsm]data'!$P:$P")))), {1,2,3,3.1,3.2,4,4.1,4.2,4.3,4.4,4.5,5,6,7,8,8.4,9}))</f>
        <v>#REF!</v>
      </c>
      <c r="F79" s="10" t="e">
        <f t="shared" ca="1" si="5"/>
        <v>#REF!</v>
      </c>
      <c r="G79" s="10" t="e">
        <f t="shared" ca="1" si="9"/>
        <v>#REF!</v>
      </c>
      <c r="H79" s="15"/>
      <c r="I79" s="11" t="e">
        <f t="shared" ca="1" si="6"/>
        <v>#REF!</v>
      </c>
    </row>
    <row r="80" spans="1:9" x14ac:dyDescent="0.25">
      <c r="A80" t="s">
        <v>71</v>
      </c>
      <c r="B80" s="10" t="e">
        <f t="shared" ca="1" si="7"/>
        <v>#REF!</v>
      </c>
      <c r="C80" s="13" t="e">
        <f t="shared" ca="1" si="8"/>
        <v>#REF!</v>
      </c>
      <c r="D80" s="11" t="e">
        <f t="shared" ca="1" si="8"/>
        <v>#REF!</v>
      </c>
      <c r="E80" s="10" t="e" cm="1">
        <f t="array" aca="1" ref="E80" ca="1">SUM(COUNTIFS(INDIRECT("'[" &amp; $B$1 &amp; ".xlsm]data'!$H$2:$H" &amp; (COUNTA(INDIRECT("'[" &amp; $B$1 &amp; ".xlsm]data'!$H:$H")))), $A80, INDIRECT("'[" &amp; $B$1 &amp; ".xlsm]data'!$P$2:$P" &amp; (COUNTA(INDIRECT("'[" &amp; $B$1 &amp; ".xlsm]data'!$P:$P")))), {1,2,3,3.1,3.2,4,4.1,4.2,4.3,4.4,4.5,5,6,7,8,8.4,9}))</f>
        <v>#REF!</v>
      </c>
      <c r="F80" s="10" t="e">
        <f t="shared" ca="1" si="5"/>
        <v>#REF!</v>
      </c>
      <c r="G80" s="10" t="e">
        <f t="shared" ca="1" si="9"/>
        <v>#REF!</v>
      </c>
      <c r="H80" s="15"/>
      <c r="I80" s="11" t="e">
        <f t="shared" ca="1" si="6"/>
        <v>#REF!</v>
      </c>
    </row>
    <row r="81" spans="1:9" x14ac:dyDescent="0.25">
      <c r="A81" t="s">
        <v>72</v>
      </c>
      <c r="B81" s="10" t="e">
        <f t="shared" ca="1" si="7"/>
        <v>#REF!</v>
      </c>
      <c r="C81" s="13" t="e">
        <f t="shared" ca="1" si="8"/>
        <v>#REF!</v>
      </c>
      <c r="D81" s="11" t="e">
        <f t="shared" ca="1" si="8"/>
        <v>#REF!</v>
      </c>
      <c r="E81" s="10" t="e" cm="1">
        <f t="array" aca="1" ref="E81" ca="1">SUM(COUNTIFS(INDIRECT("'[" &amp; $B$1 &amp; ".xlsm]data'!$H$2:$H" &amp; (COUNTA(INDIRECT("'[" &amp; $B$1 &amp; ".xlsm]data'!$H:$H")))), $A81, INDIRECT("'[" &amp; $B$1 &amp; ".xlsm]data'!$P$2:$P" &amp; (COUNTA(INDIRECT("'[" &amp; $B$1 &amp; ".xlsm]data'!$P:$P")))), {1,2,3,3.1,3.2,4,4.1,4.2,4.3,4.4,4.5,5,6,7,8,8.4,9}))</f>
        <v>#REF!</v>
      </c>
      <c r="F81" s="10" t="e">
        <f t="shared" ca="1" si="5"/>
        <v>#REF!</v>
      </c>
      <c r="G81" s="10" t="e">
        <f t="shared" ca="1" si="9"/>
        <v>#REF!</v>
      </c>
      <c r="H81" s="15"/>
      <c r="I81" s="11" t="e">
        <f t="shared" ca="1" si="6"/>
        <v>#REF!</v>
      </c>
    </row>
    <row r="82" spans="1:9" x14ac:dyDescent="0.25">
      <c r="A82" t="s">
        <v>73</v>
      </c>
      <c r="B82" s="10" t="e">
        <f t="shared" ca="1" si="7"/>
        <v>#REF!</v>
      </c>
      <c r="C82" s="13" t="e">
        <f t="shared" ca="1" si="8"/>
        <v>#REF!</v>
      </c>
      <c r="D82" s="11" t="e">
        <f t="shared" ca="1" si="8"/>
        <v>#REF!</v>
      </c>
      <c r="E82" s="10" t="e" cm="1">
        <f t="array" aca="1" ref="E82" ca="1">SUM(COUNTIFS(INDIRECT("'[" &amp; $B$1 &amp; ".xlsm]data'!$H$2:$H" &amp; (COUNTA(INDIRECT("'[" &amp; $B$1 &amp; ".xlsm]data'!$H:$H")))), $A82, INDIRECT("'[" &amp; $B$1 &amp; ".xlsm]data'!$P$2:$P" &amp; (COUNTA(INDIRECT("'[" &amp; $B$1 &amp; ".xlsm]data'!$P:$P")))), {1,2,3,3.1,3.2,4,4.1,4.2,4.3,4.4,4.5,5,6,7,8,8.4,9}))</f>
        <v>#REF!</v>
      </c>
      <c r="F82" s="10" t="e">
        <f t="shared" ca="1" si="5"/>
        <v>#REF!</v>
      </c>
      <c r="G82" s="10" t="e">
        <f t="shared" ca="1" si="9"/>
        <v>#REF!</v>
      </c>
      <c r="H82" s="15"/>
      <c r="I82" s="11" t="e">
        <f t="shared" ca="1" si="6"/>
        <v>#REF!</v>
      </c>
    </row>
    <row r="83" spans="1:9" x14ac:dyDescent="0.25">
      <c r="A83" t="s">
        <v>74</v>
      </c>
      <c r="B83" s="10" t="e">
        <f t="shared" ca="1" si="7"/>
        <v>#REF!</v>
      </c>
      <c r="C83" s="13" t="e">
        <f t="shared" ca="1" si="8"/>
        <v>#REF!</v>
      </c>
      <c r="D83" s="11" t="e">
        <f t="shared" ca="1" si="8"/>
        <v>#REF!</v>
      </c>
      <c r="E83" s="10" t="e" cm="1">
        <f t="array" aca="1" ref="E83" ca="1">SUM(COUNTIFS(INDIRECT("'[" &amp; $B$1 &amp; ".xlsm]data'!$H$2:$H" &amp; (COUNTA(INDIRECT("'[" &amp; $B$1 &amp; ".xlsm]data'!$H:$H")))), $A83, INDIRECT("'[" &amp; $B$1 &amp; ".xlsm]data'!$P$2:$P" &amp; (COUNTA(INDIRECT("'[" &amp; $B$1 &amp; ".xlsm]data'!$P:$P")))), {1,2,3,3.1,3.2,4,4.1,4.2,4.3,4.4,4.5,5,6,7,8,8.4,9}))</f>
        <v>#REF!</v>
      </c>
      <c r="F83" s="10" t="e">
        <f t="shared" ca="1" si="5"/>
        <v>#REF!</v>
      </c>
      <c r="G83" s="10" t="e">
        <f t="shared" ca="1" si="9"/>
        <v>#REF!</v>
      </c>
      <c r="H83" s="15"/>
      <c r="I83" s="11" t="e">
        <f t="shared" ca="1" si="6"/>
        <v>#REF!</v>
      </c>
    </row>
    <row r="84" spans="1:9" x14ac:dyDescent="0.25">
      <c r="A84" t="s">
        <v>75</v>
      </c>
      <c r="B84" s="10" t="e">
        <f t="shared" ca="1" si="7"/>
        <v>#REF!</v>
      </c>
      <c r="C84" s="13" t="e">
        <f t="shared" ca="1" si="8"/>
        <v>#REF!</v>
      </c>
      <c r="D84" s="11" t="e">
        <f t="shared" ca="1" si="8"/>
        <v>#REF!</v>
      </c>
      <c r="E84" s="10" t="e" cm="1">
        <f t="array" aca="1" ref="E84" ca="1">SUM(COUNTIFS(INDIRECT("'[" &amp; $B$1 &amp; ".xlsm]data'!$H$2:$H" &amp; (COUNTA(INDIRECT("'[" &amp; $B$1 &amp; ".xlsm]data'!$H:$H")))), $A84, INDIRECT("'[" &amp; $B$1 &amp; ".xlsm]data'!$P$2:$P" &amp; (COUNTA(INDIRECT("'[" &amp; $B$1 &amp; ".xlsm]data'!$P:$P")))), {1,2,3,3.1,3.2,4,4.1,4.2,4.3,4.4,4.5,5,6,7,8,8.4,9}))</f>
        <v>#REF!</v>
      </c>
      <c r="F84" s="10" t="e">
        <f t="shared" ca="1" si="5"/>
        <v>#REF!</v>
      </c>
      <c r="G84" s="10" t="e">
        <f t="shared" ca="1" si="9"/>
        <v>#REF!</v>
      </c>
      <c r="H84" s="15"/>
      <c r="I84" s="11" t="e">
        <f t="shared" ca="1" si="6"/>
        <v>#REF!</v>
      </c>
    </row>
    <row r="85" spans="1:9" x14ac:dyDescent="0.25">
      <c r="A85" t="s">
        <v>76</v>
      </c>
      <c r="B85" s="10" t="e">
        <f t="shared" ca="1" si="7"/>
        <v>#REF!</v>
      </c>
      <c r="C85" s="13" t="e">
        <f t="shared" ca="1" si="8"/>
        <v>#REF!</v>
      </c>
      <c r="D85" s="11" t="e">
        <f t="shared" ca="1" si="8"/>
        <v>#REF!</v>
      </c>
      <c r="E85" s="10" t="e" cm="1">
        <f t="array" aca="1" ref="E85" ca="1">SUM(COUNTIFS(INDIRECT("'[" &amp; $B$1 &amp; ".xlsm]data'!$H$2:$H" &amp; (COUNTA(INDIRECT("'[" &amp; $B$1 &amp; ".xlsm]data'!$H:$H")))), $A85, INDIRECT("'[" &amp; $B$1 &amp; ".xlsm]data'!$P$2:$P" &amp; (COUNTA(INDIRECT("'[" &amp; $B$1 &amp; ".xlsm]data'!$P:$P")))), {1,2,3,3.1,3.2,4,4.1,4.2,4.3,4.4,4.5,5,6,7,8,8.4,9}))</f>
        <v>#REF!</v>
      </c>
      <c r="F85" s="10" t="e">
        <f t="shared" ca="1" si="5"/>
        <v>#REF!</v>
      </c>
      <c r="G85" s="10" t="e">
        <f t="shared" ca="1" si="9"/>
        <v>#REF!</v>
      </c>
      <c r="H85" s="15"/>
      <c r="I85" s="11" t="e">
        <f t="shared" ca="1" si="6"/>
        <v>#REF!</v>
      </c>
    </row>
    <row r="86" spans="1:9" x14ac:dyDescent="0.25">
      <c r="A86" t="s">
        <v>77</v>
      </c>
      <c r="B86" s="10" t="e">
        <f t="shared" ca="1" si="7"/>
        <v>#REF!</v>
      </c>
      <c r="C86" s="13" t="e">
        <f t="shared" ca="1" si="8"/>
        <v>#REF!</v>
      </c>
      <c r="D86" s="11" t="e">
        <f t="shared" ca="1" si="8"/>
        <v>#REF!</v>
      </c>
      <c r="E86" s="10" t="e" cm="1">
        <f t="array" aca="1" ref="E86" ca="1">SUM(COUNTIFS(INDIRECT("'[" &amp; $B$1 &amp; ".xlsm]data'!$H$2:$H" &amp; (COUNTA(INDIRECT("'[" &amp; $B$1 &amp; ".xlsm]data'!$H:$H")))), $A86, INDIRECT("'[" &amp; $B$1 &amp; ".xlsm]data'!$P$2:$P" &amp; (COUNTA(INDIRECT("'[" &amp; $B$1 &amp; ".xlsm]data'!$P:$P")))), {1,2,3,3.1,3.2,4,4.1,4.2,4.3,4.4,4.5,5,6,7,8,8.4,9}))</f>
        <v>#REF!</v>
      </c>
      <c r="F86" s="10" t="e">
        <f t="shared" ca="1" si="5"/>
        <v>#REF!</v>
      </c>
      <c r="G86" s="10" t="e">
        <f t="shared" ca="1" si="9"/>
        <v>#REF!</v>
      </c>
      <c r="H86" s="15"/>
      <c r="I86" s="11" t="e">
        <f t="shared" ca="1" si="6"/>
        <v>#REF!</v>
      </c>
    </row>
    <row r="87" spans="1:9" x14ac:dyDescent="0.25">
      <c r="A87" t="s">
        <v>78</v>
      </c>
      <c r="B87" s="10" t="e">
        <f t="shared" ca="1" si="7"/>
        <v>#REF!</v>
      </c>
      <c r="C87" s="13" t="e">
        <f t="shared" ca="1" si="8"/>
        <v>#REF!</v>
      </c>
      <c r="D87" s="11" t="e">
        <f t="shared" ca="1" si="8"/>
        <v>#REF!</v>
      </c>
      <c r="E87" s="10" t="e" cm="1">
        <f t="array" aca="1" ref="E87" ca="1">SUM(COUNTIFS(INDIRECT("'[" &amp; $B$1 &amp; ".xlsm]data'!$H$2:$H" &amp; (COUNTA(INDIRECT("'[" &amp; $B$1 &amp; ".xlsm]data'!$H:$H")))), $A87, INDIRECT("'[" &amp; $B$1 &amp; ".xlsm]data'!$P$2:$P" &amp; (COUNTA(INDIRECT("'[" &amp; $B$1 &amp; ".xlsm]data'!$P:$P")))), {1,2,3,3.1,3.2,4,4.1,4.2,4.3,4.4,4.5,5,6,7,8,8.4,9}))</f>
        <v>#REF!</v>
      </c>
      <c r="F87" s="10" t="e">
        <f t="shared" ca="1" si="5"/>
        <v>#REF!</v>
      </c>
      <c r="G87" s="10" t="e">
        <f t="shared" ca="1" si="9"/>
        <v>#REF!</v>
      </c>
      <c r="H87" s="15"/>
      <c r="I87" s="11" t="e">
        <f t="shared" ca="1" si="6"/>
        <v>#REF!</v>
      </c>
    </row>
    <row r="88" spans="1:9" x14ac:dyDescent="0.25">
      <c r="A88" t="s">
        <v>79</v>
      </c>
      <c r="B88" s="10" t="e">
        <f t="shared" ca="1" si="7"/>
        <v>#REF!</v>
      </c>
      <c r="C88" s="13" t="e">
        <f t="shared" ca="1" si="8"/>
        <v>#REF!</v>
      </c>
      <c r="D88" s="11" t="e">
        <f t="shared" ca="1" si="8"/>
        <v>#REF!</v>
      </c>
      <c r="E88" s="10" t="e" cm="1">
        <f t="array" aca="1" ref="E88" ca="1">SUM(COUNTIFS(INDIRECT("'[" &amp; $B$1 &amp; ".xlsm]data'!$H$2:$H" &amp; (COUNTA(INDIRECT("'[" &amp; $B$1 &amp; ".xlsm]data'!$H:$H")))), $A88, INDIRECT("'[" &amp; $B$1 &amp; ".xlsm]data'!$P$2:$P" &amp; (COUNTA(INDIRECT("'[" &amp; $B$1 &amp; ".xlsm]data'!$P:$P")))), {1,2,3,3.1,3.2,4,4.1,4.2,4.3,4.4,4.5,5,6,7,8,8.4,9}))</f>
        <v>#REF!</v>
      </c>
      <c r="F88" s="10" t="e">
        <f t="shared" ca="1" si="5"/>
        <v>#REF!</v>
      </c>
      <c r="G88" s="10" t="e">
        <f t="shared" ca="1" si="9"/>
        <v>#REF!</v>
      </c>
      <c r="H88" s="15"/>
      <c r="I88" s="11" t="e">
        <f t="shared" ca="1" si="6"/>
        <v>#REF!</v>
      </c>
    </row>
    <row r="89" spans="1:9" x14ac:dyDescent="0.25">
      <c r="A89" t="s">
        <v>80</v>
      </c>
      <c r="B89" s="10" t="e">
        <f t="shared" ca="1" si="7"/>
        <v>#REF!</v>
      </c>
      <c r="C89" s="13" t="e">
        <f t="shared" ca="1" si="8"/>
        <v>#REF!</v>
      </c>
      <c r="D89" s="11" t="e">
        <f t="shared" ca="1" si="8"/>
        <v>#REF!</v>
      </c>
      <c r="E89" s="10" t="e" cm="1">
        <f t="array" aca="1" ref="E89" ca="1">SUM(COUNTIFS(INDIRECT("'[" &amp; $B$1 &amp; ".xlsm]data'!$H$2:$H" &amp; (COUNTA(INDIRECT("'[" &amp; $B$1 &amp; ".xlsm]data'!$H:$H")))), $A89, INDIRECT("'[" &amp; $B$1 &amp; ".xlsm]data'!$P$2:$P" &amp; (COUNTA(INDIRECT("'[" &amp; $B$1 &amp; ".xlsm]data'!$P:$P")))), {1,2,3,3.1,3.2,4,4.1,4.2,4.3,4.4,4.5,5,6,7,8,8.4,9}))</f>
        <v>#REF!</v>
      </c>
      <c r="F89" s="10" t="e">
        <f t="shared" ca="1" si="5"/>
        <v>#REF!</v>
      </c>
      <c r="G89" s="10" t="e">
        <f t="shared" ca="1" si="9"/>
        <v>#REF!</v>
      </c>
      <c r="H89" s="15"/>
      <c r="I89" s="11" t="e">
        <f t="shared" ca="1" si="6"/>
        <v>#REF!</v>
      </c>
    </row>
    <row r="90" spans="1:9" x14ac:dyDescent="0.25">
      <c r="A90" t="s">
        <v>81</v>
      </c>
      <c r="B90" s="10" t="e">
        <f t="shared" ca="1" si="7"/>
        <v>#REF!</v>
      </c>
      <c r="C90" s="13" t="e">
        <f t="shared" ca="1" si="8"/>
        <v>#REF!</v>
      </c>
      <c r="D90" s="11" t="e">
        <f t="shared" ca="1" si="8"/>
        <v>#REF!</v>
      </c>
      <c r="E90" s="10" t="e" cm="1">
        <f t="array" aca="1" ref="E90" ca="1">SUM(COUNTIFS(INDIRECT("'[" &amp; $B$1 &amp; ".xlsm]data'!$H$2:$H" &amp; (COUNTA(INDIRECT("'[" &amp; $B$1 &amp; ".xlsm]data'!$H:$H")))), $A90, INDIRECT("'[" &amp; $B$1 &amp; ".xlsm]data'!$P$2:$P" &amp; (COUNTA(INDIRECT("'[" &amp; $B$1 &amp; ".xlsm]data'!$P:$P")))), {1,2,3,3.1,3.2,4,4.1,4.2,4.3,4.4,4.5,5,6,7,8,8.4,9}))</f>
        <v>#REF!</v>
      </c>
      <c r="F90" s="10" t="e">
        <f t="shared" ca="1" si="5"/>
        <v>#REF!</v>
      </c>
      <c r="G90" s="10" t="e">
        <f t="shared" ca="1" si="9"/>
        <v>#REF!</v>
      </c>
      <c r="H90" s="15"/>
      <c r="I90" s="11" t="e">
        <f t="shared" ca="1" si="6"/>
        <v>#REF!</v>
      </c>
    </row>
    <row r="91" spans="1:9" x14ac:dyDescent="0.25">
      <c r="A91" t="s">
        <v>82</v>
      </c>
      <c r="B91" s="10" t="e">
        <f t="shared" ca="1" si="7"/>
        <v>#REF!</v>
      </c>
      <c r="C91" s="13" t="e">
        <f t="shared" ca="1" si="8"/>
        <v>#REF!</v>
      </c>
      <c r="D91" s="11" t="e">
        <f t="shared" ca="1" si="8"/>
        <v>#REF!</v>
      </c>
      <c r="E91" s="10" t="e" cm="1">
        <f t="array" aca="1" ref="E91" ca="1">SUM(COUNTIFS(INDIRECT("'[" &amp; $B$1 &amp; ".xlsm]data'!$H$2:$H" &amp; (COUNTA(INDIRECT("'[" &amp; $B$1 &amp; ".xlsm]data'!$H:$H")))), $A91, INDIRECT("'[" &amp; $B$1 &amp; ".xlsm]data'!$P$2:$P" &amp; (COUNTA(INDIRECT("'[" &amp; $B$1 &amp; ".xlsm]data'!$P:$P")))), {1,2,3,3.1,3.2,4,4.1,4.2,4.3,4.4,4.5,5,6,7,8,8.4,9}))</f>
        <v>#REF!</v>
      </c>
      <c r="F91" s="10" t="e">
        <f t="shared" ca="1" si="5"/>
        <v>#REF!</v>
      </c>
      <c r="G91" s="10" t="e">
        <f t="shared" ca="1" si="9"/>
        <v>#REF!</v>
      </c>
      <c r="H91" s="15"/>
      <c r="I91" s="11" t="e">
        <f t="shared" ca="1" si="6"/>
        <v>#REF!</v>
      </c>
    </row>
    <row r="92" spans="1:9" x14ac:dyDescent="0.25">
      <c r="A92" t="s">
        <v>83</v>
      </c>
      <c r="B92" s="10" t="e">
        <f t="shared" ca="1" si="7"/>
        <v>#REF!</v>
      </c>
      <c r="C92" s="13" t="e">
        <f t="shared" ca="1" si="8"/>
        <v>#REF!</v>
      </c>
      <c r="D92" s="11" t="e">
        <f t="shared" ca="1" si="8"/>
        <v>#REF!</v>
      </c>
      <c r="E92" s="10" t="e" cm="1">
        <f t="array" aca="1" ref="E92" ca="1">SUM(COUNTIFS(INDIRECT("'[" &amp; $B$1 &amp; ".xlsm]data'!$H$2:$H" &amp; (COUNTA(INDIRECT("'[" &amp; $B$1 &amp; ".xlsm]data'!$H:$H")))), $A92, INDIRECT("'[" &amp; $B$1 &amp; ".xlsm]data'!$P$2:$P" &amp; (COUNTA(INDIRECT("'[" &amp; $B$1 &amp; ".xlsm]data'!$P:$P")))), {1,2,3,3.1,3.2,4,4.1,4.2,4.3,4.4,4.5,5,6,7,8,8.4,9}))</f>
        <v>#REF!</v>
      </c>
      <c r="F92" s="10" t="e">
        <f t="shared" ca="1" si="5"/>
        <v>#REF!</v>
      </c>
      <c r="G92" s="10" t="e">
        <f t="shared" ca="1" si="9"/>
        <v>#REF!</v>
      </c>
      <c r="H92" s="15"/>
      <c r="I92" s="11" t="e">
        <f t="shared" ca="1" si="6"/>
        <v>#REF!</v>
      </c>
    </row>
    <row r="93" spans="1:9" x14ac:dyDescent="0.25">
      <c r="A93" t="s">
        <v>84</v>
      </c>
      <c r="B93" s="10" t="e">
        <f t="shared" ca="1" si="7"/>
        <v>#REF!</v>
      </c>
      <c r="C93" s="13" t="e">
        <f t="shared" ca="1" si="8"/>
        <v>#REF!</v>
      </c>
      <c r="D93" s="11" t="e">
        <f t="shared" ca="1" si="8"/>
        <v>#REF!</v>
      </c>
      <c r="E93" s="10" t="e" cm="1">
        <f t="array" aca="1" ref="E93" ca="1">SUM(COUNTIFS(INDIRECT("'[" &amp; $B$1 &amp; ".xlsm]data'!$H$2:$H" &amp; (COUNTA(INDIRECT("'[" &amp; $B$1 &amp; ".xlsm]data'!$H:$H")))), $A93, INDIRECT("'[" &amp; $B$1 &amp; ".xlsm]data'!$P$2:$P" &amp; (COUNTA(INDIRECT("'[" &amp; $B$1 &amp; ".xlsm]data'!$P:$P")))), {1,2,3,3.1,3.2,4,4.1,4.2,4.3,4.4,4.5,5,6,7,8,8.4,9}))</f>
        <v>#REF!</v>
      </c>
      <c r="F93" s="10" t="e">
        <f t="shared" ca="1" si="5"/>
        <v>#REF!</v>
      </c>
      <c r="G93" s="10" t="e">
        <f t="shared" ca="1" si="9"/>
        <v>#REF!</v>
      </c>
      <c r="H93" s="15"/>
      <c r="I93" s="11" t="e">
        <f t="shared" ca="1" si="6"/>
        <v>#REF!</v>
      </c>
    </row>
    <row r="94" spans="1:9" x14ac:dyDescent="0.25">
      <c r="A94" t="s">
        <v>85</v>
      </c>
      <c r="B94" s="10" t="e">
        <f t="shared" ca="1" si="7"/>
        <v>#REF!</v>
      </c>
      <c r="C94" s="13" t="e">
        <f t="shared" ca="1" si="8"/>
        <v>#REF!</v>
      </c>
      <c r="D94" s="11" t="e">
        <f t="shared" ca="1" si="8"/>
        <v>#REF!</v>
      </c>
      <c r="E94" s="10" t="e" cm="1">
        <f t="array" aca="1" ref="E94" ca="1">SUM(COUNTIFS(INDIRECT("'[" &amp; $B$1 &amp; ".xlsm]data'!$H$2:$H" &amp; (COUNTA(INDIRECT("'[" &amp; $B$1 &amp; ".xlsm]data'!$H:$H")))), $A94, INDIRECT("'[" &amp; $B$1 &amp; ".xlsm]data'!$P$2:$P" &amp; (COUNTA(INDIRECT("'[" &amp; $B$1 &amp; ".xlsm]data'!$P:$P")))), {1,2,3,3.1,3.2,4,4.1,4.2,4.3,4.4,4.5,5,6,7,8,8.4,9}))</f>
        <v>#REF!</v>
      </c>
      <c r="F94" s="10" t="e">
        <f t="shared" ca="1" si="5"/>
        <v>#REF!</v>
      </c>
      <c r="G94" s="10" t="e">
        <f t="shared" ca="1" si="9"/>
        <v>#REF!</v>
      </c>
      <c r="H94" s="15"/>
      <c r="I94" s="11" t="e">
        <f t="shared" ca="1" si="6"/>
        <v>#REF!</v>
      </c>
    </row>
    <row r="95" spans="1:9" x14ac:dyDescent="0.25">
      <c r="A95" t="s">
        <v>86</v>
      </c>
      <c r="B95" s="10" t="e">
        <f t="shared" ca="1" si="7"/>
        <v>#REF!</v>
      </c>
      <c r="C95" s="13" t="e">
        <f t="shared" ca="1" si="8"/>
        <v>#REF!</v>
      </c>
      <c r="D95" s="11" t="e">
        <f t="shared" ca="1" si="8"/>
        <v>#REF!</v>
      </c>
      <c r="E95" s="10" t="e" cm="1">
        <f t="array" aca="1" ref="E95" ca="1">SUM(COUNTIFS(INDIRECT("'[" &amp; $B$1 &amp; ".xlsm]data'!$H$2:$H" &amp; (COUNTA(INDIRECT("'[" &amp; $B$1 &amp; ".xlsm]data'!$H:$H")))), $A95, INDIRECT("'[" &amp; $B$1 &amp; ".xlsm]data'!$P$2:$P" &amp; (COUNTA(INDIRECT("'[" &amp; $B$1 &amp; ".xlsm]data'!$P:$P")))), {1,2,3,3.1,3.2,4,4.1,4.2,4.3,4.4,4.5,5,6,7,8,8.4,9}))</f>
        <v>#REF!</v>
      </c>
      <c r="F95" s="10" t="e">
        <f t="shared" ca="1" si="5"/>
        <v>#REF!</v>
      </c>
      <c r="G95" s="10" t="e">
        <f t="shared" ca="1" si="9"/>
        <v>#REF!</v>
      </c>
      <c r="H95" s="15"/>
      <c r="I95" s="11" t="e">
        <f t="shared" ca="1" si="6"/>
        <v>#REF!</v>
      </c>
    </row>
    <row r="96" spans="1:9" x14ac:dyDescent="0.25">
      <c r="A96" t="s">
        <v>87</v>
      </c>
      <c r="B96" s="10" t="e">
        <f t="shared" ca="1" si="7"/>
        <v>#REF!</v>
      </c>
      <c r="C96" s="13" t="e">
        <f t="shared" ca="1" si="8"/>
        <v>#REF!</v>
      </c>
      <c r="D96" s="11" t="e">
        <f t="shared" ca="1" si="8"/>
        <v>#REF!</v>
      </c>
      <c r="E96" s="10" t="e" cm="1">
        <f t="array" aca="1" ref="E96" ca="1">SUM(COUNTIFS(INDIRECT("'[" &amp; $B$1 &amp; ".xlsm]data'!$H$2:$H" &amp; (COUNTA(INDIRECT("'[" &amp; $B$1 &amp; ".xlsm]data'!$H:$H")))), $A96, INDIRECT("'[" &amp; $B$1 &amp; ".xlsm]data'!$P$2:$P" &amp; (COUNTA(INDIRECT("'[" &amp; $B$1 &amp; ".xlsm]data'!$P:$P")))), {1,2,3,3.1,3.2,4,4.1,4.2,4.3,4.4,4.5,5,6,7,8,8.4,9}))</f>
        <v>#REF!</v>
      </c>
      <c r="F96" s="10" t="e">
        <f t="shared" ca="1" si="5"/>
        <v>#REF!</v>
      </c>
      <c r="G96" s="10" t="e">
        <f t="shared" ca="1" si="9"/>
        <v>#REF!</v>
      </c>
      <c r="H96" s="15"/>
      <c r="I96" s="11" t="e">
        <f t="shared" ca="1" si="6"/>
        <v>#REF!</v>
      </c>
    </row>
    <row r="97" spans="1:9" x14ac:dyDescent="0.25">
      <c r="A97" t="s">
        <v>88</v>
      </c>
      <c r="B97" s="10" t="e">
        <f t="shared" ca="1" si="7"/>
        <v>#REF!</v>
      </c>
      <c r="C97" s="13" t="e">
        <f t="shared" ca="1" si="8"/>
        <v>#REF!</v>
      </c>
      <c r="D97" s="11" t="e">
        <f t="shared" ca="1" si="8"/>
        <v>#REF!</v>
      </c>
      <c r="E97" s="10" t="e" cm="1">
        <f t="array" aca="1" ref="E97" ca="1">SUM(COUNTIFS(INDIRECT("'[" &amp; $B$1 &amp; ".xlsm]data'!$H$2:$H" &amp; (COUNTA(INDIRECT("'[" &amp; $B$1 &amp; ".xlsm]data'!$H:$H")))), $A97, INDIRECT("'[" &amp; $B$1 &amp; ".xlsm]data'!$P$2:$P" &amp; (COUNTA(INDIRECT("'[" &amp; $B$1 &amp; ".xlsm]data'!$P:$P")))), {1,2,3,3.1,3.2,4,4.1,4.2,4.3,4.4,4.5,5,6,7,8,8.4,9}))</f>
        <v>#REF!</v>
      </c>
      <c r="F97" s="10" t="e">
        <f t="shared" ca="1" si="5"/>
        <v>#REF!</v>
      </c>
      <c r="G97" s="10" t="e">
        <f t="shared" ca="1" si="9"/>
        <v>#REF!</v>
      </c>
      <c r="H97" s="15"/>
      <c r="I97" s="11" t="e">
        <f t="shared" ca="1" si="6"/>
        <v>#REF!</v>
      </c>
    </row>
    <row r="98" spans="1:9" x14ac:dyDescent="0.25">
      <c r="A98" t="s">
        <v>89</v>
      </c>
      <c r="B98" s="10" t="e">
        <f t="shared" ca="1" si="7"/>
        <v>#REF!</v>
      </c>
      <c r="C98" s="13" t="e">
        <f t="shared" ca="1" si="8"/>
        <v>#REF!</v>
      </c>
      <c r="D98" s="11" t="e">
        <f t="shared" ca="1" si="8"/>
        <v>#REF!</v>
      </c>
      <c r="E98" s="10" t="e" cm="1">
        <f t="array" aca="1" ref="E98" ca="1">SUM(COUNTIFS(INDIRECT("'[" &amp; $B$1 &amp; ".xlsm]data'!$H$2:$H" &amp; (COUNTA(INDIRECT("'[" &amp; $B$1 &amp; ".xlsm]data'!$H:$H")))), $A98, INDIRECT("'[" &amp; $B$1 &amp; ".xlsm]data'!$P$2:$P" &amp; (COUNTA(INDIRECT("'[" &amp; $B$1 &amp; ".xlsm]data'!$P:$P")))), {1,2,3,3.1,3.2,4,4.1,4.2,4.3,4.4,4.5,5,6,7,8,8.4,9}))</f>
        <v>#REF!</v>
      </c>
      <c r="F98" s="10" t="e">
        <f t="shared" ca="1" si="5"/>
        <v>#REF!</v>
      </c>
      <c r="G98" s="10" t="e">
        <f t="shared" ca="1" si="9"/>
        <v>#REF!</v>
      </c>
      <c r="H98" s="15"/>
      <c r="I98" s="11" t="e">
        <f t="shared" ca="1" si="6"/>
        <v>#REF!</v>
      </c>
    </row>
    <row r="99" spans="1:9" x14ac:dyDescent="0.25">
      <c r="A99" t="s">
        <v>90</v>
      </c>
      <c r="B99" s="10" t="e">
        <f t="shared" ca="1" si="7"/>
        <v>#REF!</v>
      </c>
      <c r="C99" s="13" t="e">
        <f t="shared" ca="1" si="8"/>
        <v>#REF!</v>
      </c>
      <c r="D99" s="11" t="e">
        <f t="shared" ca="1" si="8"/>
        <v>#REF!</v>
      </c>
      <c r="E99" s="10" t="e" cm="1">
        <f t="array" aca="1" ref="E99" ca="1">SUM(COUNTIFS(INDIRECT("'[" &amp; $B$1 &amp; ".xlsm]data'!$H$2:$H" &amp; (COUNTA(INDIRECT("'[" &amp; $B$1 &amp; ".xlsm]data'!$H:$H")))), $A99, INDIRECT("'[" &amp; $B$1 &amp; ".xlsm]data'!$P$2:$P" &amp; (COUNTA(INDIRECT("'[" &amp; $B$1 &amp; ".xlsm]data'!$P:$P")))), {1,2,3,3.1,3.2,4,4.1,4.2,4.3,4.4,4.5,5,6,7,8,8.4,9}))</f>
        <v>#REF!</v>
      </c>
      <c r="F99" s="10" t="e">
        <f t="shared" ca="1" si="5"/>
        <v>#REF!</v>
      </c>
      <c r="G99" s="10" t="e">
        <f t="shared" ca="1" si="9"/>
        <v>#REF!</v>
      </c>
      <c r="H99" s="15"/>
      <c r="I99" s="11" t="e">
        <f t="shared" ca="1" si="6"/>
        <v>#REF!</v>
      </c>
    </row>
    <row r="100" spans="1:9" x14ac:dyDescent="0.25">
      <c r="A100" t="s">
        <v>91</v>
      </c>
      <c r="B100" s="10" t="e">
        <f t="shared" ca="1" si="7"/>
        <v>#REF!</v>
      </c>
      <c r="C100" s="13" t="e">
        <f t="shared" ca="1" si="8"/>
        <v>#REF!</v>
      </c>
      <c r="D100" s="11" t="e">
        <f t="shared" ca="1" si="8"/>
        <v>#REF!</v>
      </c>
      <c r="E100" s="10" t="e" cm="1">
        <f t="array" aca="1" ref="E100" ca="1">SUM(COUNTIFS(INDIRECT("'[" &amp; $B$1 &amp; ".xlsm]data'!$H$2:$H" &amp; (COUNTA(INDIRECT("'[" &amp; $B$1 &amp; ".xlsm]data'!$H:$H")))), $A100, INDIRECT("'[" &amp; $B$1 &amp; ".xlsm]data'!$P$2:$P" &amp; (COUNTA(INDIRECT("'[" &amp; $B$1 &amp; ".xlsm]data'!$P:$P")))), {1,2,3,3.1,3.2,4,4.1,4.2,4.3,4.4,4.5,5,6,7,8,8.4,9}))</f>
        <v>#REF!</v>
      </c>
      <c r="F100" s="10" t="e">
        <f t="shared" ca="1" si="5"/>
        <v>#REF!</v>
      </c>
      <c r="G100" s="10" t="e">
        <f t="shared" ca="1" si="9"/>
        <v>#REF!</v>
      </c>
      <c r="H100" s="15"/>
      <c r="I100" s="11" t="e">
        <f t="shared" ca="1" si="6"/>
        <v>#REF!</v>
      </c>
    </row>
    <row r="101" spans="1:9" x14ac:dyDescent="0.25">
      <c r="A101" t="s">
        <v>92</v>
      </c>
      <c r="B101" s="10" t="e">
        <f t="shared" ca="1" si="7"/>
        <v>#REF!</v>
      </c>
      <c r="C101" s="13" t="e">
        <f t="shared" ca="1" si="8"/>
        <v>#REF!</v>
      </c>
      <c r="D101" s="11" t="e">
        <f t="shared" ca="1" si="8"/>
        <v>#REF!</v>
      </c>
      <c r="E101" s="10" t="e" cm="1">
        <f t="array" aca="1" ref="E101" ca="1">SUM(COUNTIFS(INDIRECT("'[" &amp; $B$1 &amp; ".xlsm]data'!$H$2:$H" &amp; (COUNTA(INDIRECT("'[" &amp; $B$1 &amp; ".xlsm]data'!$H:$H")))), $A101, INDIRECT("'[" &amp; $B$1 &amp; ".xlsm]data'!$P$2:$P" &amp; (COUNTA(INDIRECT("'[" &amp; $B$1 &amp; ".xlsm]data'!$P:$P")))), {1,2,3,3.1,3.2,4,4.1,4.2,4.3,4.4,4.5,5,6,7,8,8.4,9}))</f>
        <v>#REF!</v>
      </c>
      <c r="F101" s="10" t="e">
        <f t="shared" ca="1" si="5"/>
        <v>#REF!</v>
      </c>
      <c r="G101" s="10" t="e">
        <f t="shared" ca="1" si="9"/>
        <v>#REF!</v>
      </c>
      <c r="H101" s="15"/>
      <c r="I101" s="11" t="e">
        <f t="shared" ca="1" si="6"/>
        <v>#REF!</v>
      </c>
    </row>
    <row r="102" spans="1:9" x14ac:dyDescent="0.25">
      <c r="A102" t="s">
        <v>93</v>
      </c>
      <c r="B102" s="10" t="e">
        <f t="shared" ca="1" si="7"/>
        <v>#REF!</v>
      </c>
      <c r="C102" s="13" t="e">
        <f t="shared" ca="1" si="8"/>
        <v>#REF!</v>
      </c>
      <c r="D102" s="11" t="e">
        <f t="shared" ca="1" si="8"/>
        <v>#REF!</v>
      </c>
      <c r="E102" s="10" t="e" cm="1">
        <f t="array" aca="1" ref="E102" ca="1">SUM(COUNTIFS(INDIRECT("'[" &amp; $B$1 &amp; ".xlsm]data'!$H$2:$H" &amp; (COUNTA(INDIRECT("'[" &amp; $B$1 &amp; ".xlsm]data'!$H:$H")))), $A102, INDIRECT("'[" &amp; $B$1 &amp; ".xlsm]data'!$P$2:$P" &amp; (COUNTA(INDIRECT("'[" &amp; $B$1 &amp; ".xlsm]data'!$P:$P")))), {1,2,3,3.1,3.2,4,4.1,4.2,4.3,4.4,4.5,5,6,7,8,8.4,9}))</f>
        <v>#REF!</v>
      </c>
      <c r="F102" s="10" t="e">
        <f t="shared" ca="1" si="5"/>
        <v>#REF!</v>
      </c>
      <c r="G102" s="10" t="e">
        <f t="shared" ca="1" si="9"/>
        <v>#REF!</v>
      </c>
      <c r="H102" s="15"/>
      <c r="I102" s="11" t="e">
        <f t="shared" ca="1" si="6"/>
        <v>#REF!</v>
      </c>
    </row>
    <row r="103" spans="1:9" x14ac:dyDescent="0.25">
      <c r="A103" t="s">
        <v>94</v>
      </c>
      <c r="B103" s="10" t="e">
        <f t="shared" ca="1" si="7"/>
        <v>#REF!</v>
      </c>
      <c r="C103" s="13" t="e">
        <f t="shared" ca="1" si="8"/>
        <v>#REF!</v>
      </c>
      <c r="D103" s="11" t="e">
        <f t="shared" ca="1" si="8"/>
        <v>#REF!</v>
      </c>
      <c r="E103" s="10" t="e" cm="1">
        <f t="array" aca="1" ref="E103" ca="1">SUM(COUNTIFS(INDIRECT("'[" &amp; $B$1 &amp; ".xlsm]data'!$H$2:$H" &amp; (COUNTA(INDIRECT("'[" &amp; $B$1 &amp; ".xlsm]data'!$H:$H")))), $A103, INDIRECT("'[" &amp; $B$1 &amp; ".xlsm]data'!$P$2:$P" &amp; (COUNTA(INDIRECT("'[" &amp; $B$1 &amp; ".xlsm]data'!$P:$P")))), {1,2,3,3.1,3.2,4,4.1,4.2,4.3,4.4,4.5,5,6,7,8,8.4,9}))</f>
        <v>#REF!</v>
      </c>
      <c r="F103" s="10" t="e">
        <f t="shared" ca="1" si="5"/>
        <v>#REF!</v>
      </c>
      <c r="G103" s="10" t="e">
        <f t="shared" ca="1" si="9"/>
        <v>#REF!</v>
      </c>
      <c r="H103" s="15"/>
      <c r="I103" s="11" t="e">
        <f t="shared" ca="1" si="6"/>
        <v>#REF!</v>
      </c>
    </row>
    <row r="104" spans="1:9" x14ac:dyDescent="0.25">
      <c r="A104" t="s">
        <v>95</v>
      </c>
      <c r="B104" s="10" t="e">
        <f t="shared" ca="1" si="7"/>
        <v>#REF!</v>
      </c>
      <c r="C104" s="13" t="e">
        <f t="shared" ca="1" si="8"/>
        <v>#REF!</v>
      </c>
      <c r="D104" s="11" t="e">
        <f t="shared" ca="1" si="8"/>
        <v>#REF!</v>
      </c>
      <c r="E104" s="10" t="e" cm="1">
        <f t="array" aca="1" ref="E104" ca="1">SUM(COUNTIFS(INDIRECT("'[" &amp; $B$1 &amp; ".xlsm]data'!$H$2:$H" &amp; (COUNTA(INDIRECT("'[" &amp; $B$1 &amp; ".xlsm]data'!$H:$H")))), $A104, INDIRECT("'[" &amp; $B$1 &amp; ".xlsm]data'!$P$2:$P" &amp; (COUNTA(INDIRECT("'[" &amp; $B$1 &amp; ".xlsm]data'!$P:$P")))), {1,2,3,3.1,3.2,4,4.1,4.2,4.3,4.4,4.5,5,6,7,8,8.4,9}))</f>
        <v>#REF!</v>
      </c>
      <c r="F104" s="10" t="e">
        <f t="shared" ca="1" si="5"/>
        <v>#REF!</v>
      </c>
      <c r="G104" s="10" t="e">
        <f t="shared" ca="1" si="9"/>
        <v>#REF!</v>
      </c>
      <c r="H104" s="15"/>
      <c r="I104" s="11" t="e">
        <f t="shared" ca="1" si="6"/>
        <v>#REF!</v>
      </c>
    </row>
    <row r="105" spans="1:9" x14ac:dyDescent="0.25">
      <c r="A105" t="s">
        <v>96</v>
      </c>
      <c r="B105" s="10" t="e">
        <f t="shared" ca="1" si="7"/>
        <v>#REF!</v>
      </c>
      <c r="C105" s="13" t="e">
        <f t="shared" ca="1" si="8"/>
        <v>#REF!</v>
      </c>
      <c r="D105" s="11" t="e">
        <f t="shared" ca="1" si="8"/>
        <v>#REF!</v>
      </c>
      <c r="E105" s="10" t="e" cm="1">
        <f t="array" aca="1" ref="E105" ca="1">SUM(COUNTIFS(INDIRECT("'[" &amp; $B$1 &amp; ".xlsm]data'!$H$2:$H" &amp; (COUNTA(INDIRECT("'[" &amp; $B$1 &amp; ".xlsm]data'!$H:$H")))), $A105, INDIRECT("'[" &amp; $B$1 &amp; ".xlsm]data'!$P$2:$P" &amp; (COUNTA(INDIRECT("'[" &amp; $B$1 &amp; ".xlsm]data'!$P:$P")))), {1,2,3,3.1,3.2,4,4.1,4.2,4.3,4.4,4.5,5,6,7,8,8.4,9}))</f>
        <v>#REF!</v>
      </c>
      <c r="F105" s="10" t="e">
        <f t="shared" ca="1" si="5"/>
        <v>#REF!</v>
      </c>
      <c r="G105" s="10" t="e">
        <f t="shared" ca="1" si="9"/>
        <v>#REF!</v>
      </c>
      <c r="H105" s="15"/>
      <c r="I105" s="11" t="e">
        <f t="shared" ca="1" si="6"/>
        <v>#REF!</v>
      </c>
    </row>
    <row r="106" spans="1:9" x14ac:dyDescent="0.25">
      <c r="A106" t="s">
        <v>97</v>
      </c>
      <c r="B106" s="10" t="e">
        <f t="shared" ca="1" si="7"/>
        <v>#REF!</v>
      </c>
      <c r="C106" s="13" t="e">
        <f t="shared" ca="1" si="8"/>
        <v>#REF!</v>
      </c>
      <c r="D106" s="11" t="e">
        <f t="shared" ca="1" si="8"/>
        <v>#REF!</v>
      </c>
      <c r="E106" s="10" t="e" cm="1">
        <f t="array" aca="1" ref="E106" ca="1">SUM(COUNTIFS(INDIRECT("'[" &amp; $B$1 &amp; ".xlsm]data'!$H$2:$H" &amp; (COUNTA(INDIRECT("'[" &amp; $B$1 &amp; ".xlsm]data'!$H:$H")))), $A106, INDIRECT("'[" &amp; $B$1 &amp; ".xlsm]data'!$P$2:$P" &amp; (COUNTA(INDIRECT("'[" &amp; $B$1 &amp; ".xlsm]data'!$P:$P")))), {1,2,3,3.1,3.2,4,4.1,4.2,4.3,4.4,4.5,5,6,7,8,8.4,9}))</f>
        <v>#REF!</v>
      </c>
      <c r="F106" s="10" t="e">
        <f t="shared" ca="1" si="5"/>
        <v>#REF!</v>
      </c>
      <c r="G106" s="10" t="e">
        <f t="shared" ca="1" si="9"/>
        <v>#REF!</v>
      </c>
      <c r="H106" s="15"/>
      <c r="I106" s="11" t="e">
        <f t="shared" ca="1" si="6"/>
        <v>#REF!</v>
      </c>
    </row>
    <row r="107" spans="1:9" x14ac:dyDescent="0.25">
      <c r="A107" t="s">
        <v>98</v>
      </c>
      <c r="B107" s="10" t="e">
        <f t="shared" ca="1" si="7"/>
        <v>#REF!</v>
      </c>
      <c r="C107" s="13" t="e">
        <f t="shared" ref="C107:D138" ca="1" si="10">COUNTIFS(INDIRECT("'[" &amp; $B$1 &amp; ".xlsm]data'!$I:$I"), $A107,(INDIRECT("'[" &amp; $B$1 &amp; ".xlsm]data'!$A:$A")), C$8)</f>
        <v>#REF!</v>
      </c>
      <c r="D107" s="11" t="e">
        <f t="shared" ca="1" si="10"/>
        <v>#REF!</v>
      </c>
      <c r="E107" s="10" t="e" cm="1">
        <f t="array" aca="1" ref="E107" ca="1">SUM(COUNTIFS(INDIRECT("'[" &amp; $B$1 &amp; ".xlsm]data'!$H$2:$H" &amp; (COUNTA(INDIRECT("'[" &amp; $B$1 &amp; ".xlsm]data'!$H:$H")))), $A107, INDIRECT("'[" &amp; $B$1 &amp; ".xlsm]data'!$P$2:$P" &amp; (COUNTA(INDIRECT("'[" &amp; $B$1 &amp; ".xlsm]data'!$P:$P")))), {1,2,3,3.1,3.2,4,4.1,4.2,4.3,4.4,4.5,5,6,7,8,8.4,9}))</f>
        <v>#REF!</v>
      </c>
      <c r="F107" s="10" t="e">
        <f t="shared" ca="1" si="5"/>
        <v>#REF!</v>
      </c>
      <c r="G107" s="10" t="e">
        <f t="shared" ca="1" si="9"/>
        <v>#REF!</v>
      </c>
      <c r="H107" s="15"/>
      <c r="I107" s="11" t="e">
        <f t="shared" ca="1" si="6"/>
        <v>#REF!</v>
      </c>
    </row>
    <row r="108" spans="1:9" x14ac:dyDescent="0.25">
      <c r="A108" t="s">
        <v>99</v>
      </c>
      <c r="B108" s="10" t="e">
        <f t="shared" ca="1" si="7"/>
        <v>#REF!</v>
      </c>
      <c r="C108" s="13" t="e">
        <f t="shared" ca="1" si="10"/>
        <v>#REF!</v>
      </c>
      <c r="D108" s="11" t="e">
        <f t="shared" ca="1" si="10"/>
        <v>#REF!</v>
      </c>
      <c r="E108" s="10" t="e" cm="1">
        <f t="array" aca="1" ref="E108" ca="1">SUM(COUNTIFS(INDIRECT("'[" &amp; $B$1 &amp; ".xlsm]data'!$H$2:$H" &amp; (COUNTA(INDIRECT("'[" &amp; $B$1 &amp; ".xlsm]data'!$H:$H")))), $A108, INDIRECT("'[" &amp; $B$1 &amp; ".xlsm]data'!$P$2:$P" &amp; (COUNTA(INDIRECT("'[" &amp; $B$1 &amp; ".xlsm]data'!$P:$P")))), {1,2,3,3.1,3.2,4,4.1,4.2,4.3,4.4,4.5,5,6,7,8,8.4,9}))</f>
        <v>#REF!</v>
      </c>
      <c r="F108" s="10" t="e">
        <f t="shared" ca="1" si="5"/>
        <v>#REF!</v>
      </c>
      <c r="G108" s="10" t="e">
        <f t="shared" ca="1" si="9"/>
        <v>#REF!</v>
      </c>
      <c r="H108" s="15"/>
      <c r="I108" s="11" t="e">
        <f t="shared" ca="1" si="6"/>
        <v>#REF!</v>
      </c>
    </row>
    <row r="109" spans="1:9" x14ac:dyDescent="0.25">
      <c r="A109" t="s">
        <v>100</v>
      </c>
      <c r="B109" s="10" t="e">
        <f t="shared" ca="1" si="7"/>
        <v>#REF!</v>
      </c>
      <c r="C109" s="13" t="e">
        <f t="shared" ca="1" si="10"/>
        <v>#REF!</v>
      </c>
      <c r="D109" s="11" t="e">
        <f t="shared" ca="1" si="10"/>
        <v>#REF!</v>
      </c>
      <c r="E109" s="10" t="e" cm="1">
        <f t="array" aca="1" ref="E109" ca="1">SUM(COUNTIFS(INDIRECT("'[" &amp; $B$1 &amp; ".xlsm]data'!$H$2:$H" &amp; (COUNTA(INDIRECT("'[" &amp; $B$1 &amp; ".xlsm]data'!$H:$H")))), $A109, INDIRECT("'[" &amp; $B$1 &amp; ".xlsm]data'!$P$2:$P" &amp; (COUNTA(INDIRECT("'[" &amp; $B$1 &amp; ".xlsm]data'!$P:$P")))), {1,2,3,3.1,3.2,4,4.1,4.2,4.3,4.4,4.5,5,6,7,8,8.4,9}))</f>
        <v>#REF!</v>
      </c>
      <c r="F109" s="10" t="e">
        <f t="shared" ca="1" si="5"/>
        <v>#REF!</v>
      </c>
      <c r="G109" s="10" t="e">
        <f t="shared" ca="1" si="9"/>
        <v>#REF!</v>
      </c>
      <c r="H109" s="15"/>
      <c r="I109" s="11" t="e">
        <f t="shared" ca="1" si="6"/>
        <v>#REF!</v>
      </c>
    </row>
    <row r="110" spans="1:9" x14ac:dyDescent="0.25">
      <c r="A110" t="s">
        <v>101</v>
      </c>
      <c r="B110" s="10" t="e">
        <f t="shared" ca="1" si="7"/>
        <v>#REF!</v>
      </c>
      <c r="C110" s="13" t="e">
        <f t="shared" ca="1" si="10"/>
        <v>#REF!</v>
      </c>
      <c r="D110" s="11" t="e">
        <f t="shared" ca="1" si="10"/>
        <v>#REF!</v>
      </c>
      <c r="E110" s="10" t="e" cm="1">
        <f t="array" aca="1" ref="E110" ca="1">SUM(COUNTIFS(INDIRECT("'[" &amp; $B$1 &amp; ".xlsm]data'!$H$2:$H" &amp; (COUNTA(INDIRECT("'[" &amp; $B$1 &amp; ".xlsm]data'!$H:$H")))), $A110, INDIRECT("'[" &amp; $B$1 &amp; ".xlsm]data'!$P$2:$P" &amp; (COUNTA(INDIRECT("'[" &amp; $B$1 &amp; ".xlsm]data'!$P:$P")))), {1,2,3,3.1,3.2,4,4.1,4.2,4.3,4.4,4.5,5,6,7,8,8.4,9}))</f>
        <v>#REF!</v>
      </c>
      <c r="F110" s="10" t="e">
        <f t="shared" ca="1" si="5"/>
        <v>#REF!</v>
      </c>
      <c r="G110" s="10" t="e">
        <f t="shared" ca="1" si="9"/>
        <v>#REF!</v>
      </c>
      <c r="H110" s="15"/>
      <c r="I110" s="11" t="e">
        <f t="shared" ca="1" si="6"/>
        <v>#REF!</v>
      </c>
    </row>
    <row r="111" spans="1:9" x14ac:dyDescent="0.25">
      <c r="A111" t="s">
        <v>102</v>
      </c>
      <c r="B111" s="10" t="e">
        <f t="shared" ca="1" si="7"/>
        <v>#REF!</v>
      </c>
      <c r="C111" s="13" t="e">
        <f t="shared" ca="1" si="10"/>
        <v>#REF!</v>
      </c>
      <c r="D111" s="11" t="e">
        <f t="shared" ca="1" si="10"/>
        <v>#REF!</v>
      </c>
      <c r="E111" s="10" t="e" cm="1">
        <f t="array" aca="1" ref="E111" ca="1">SUM(COUNTIFS(INDIRECT("'[" &amp; $B$1 &amp; ".xlsm]data'!$H$2:$H" &amp; (COUNTA(INDIRECT("'[" &amp; $B$1 &amp; ".xlsm]data'!$H:$H")))), $A111, INDIRECT("'[" &amp; $B$1 &amp; ".xlsm]data'!$P$2:$P" &amp; (COUNTA(INDIRECT("'[" &amp; $B$1 &amp; ".xlsm]data'!$P:$P")))), {1,2,3,3.1,3.2,4,4.1,4.2,4.3,4.4,4.5,5,6,7,8,8.4,9}))</f>
        <v>#REF!</v>
      </c>
      <c r="F111" s="10" t="e">
        <f t="shared" ca="1" si="5"/>
        <v>#REF!</v>
      </c>
      <c r="G111" s="10" t="e">
        <f t="shared" ca="1" si="9"/>
        <v>#REF!</v>
      </c>
      <c r="H111" s="15"/>
      <c r="I111" s="11" t="e">
        <f t="shared" ca="1" si="6"/>
        <v>#REF!</v>
      </c>
    </row>
    <row r="112" spans="1:9" x14ac:dyDescent="0.25">
      <c r="A112" t="s">
        <v>103</v>
      </c>
      <c r="B112" s="10" t="e">
        <f t="shared" ca="1" si="7"/>
        <v>#REF!</v>
      </c>
      <c r="C112" s="13" t="e">
        <f t="shared" ca="1" si="10"/>
        <v>#REF!</v>
      </c>
      <c r="D112" s="11" t="e">
        <f t="shared" ca="1" si="10"/>
        <v>#REF!</v>
      </c>
      <c r="E112" s="10" t="e" cm="1">
        <f t="array" aca="1" ref="E112" ca="1">SUM(COUNTIFS(INDIRECT("'[" &amp; $B$1 &amp; ".xlsm]data'!$H$2:$H" &amp; (COUNTA(INDIRECT("'[" &amp; $B$1 &amp; ".xlsm]data'!$H:$H")))), $A112, INDIRECT("'[" &amp; $B$1 &amp; ".xlsm]data'!$P$2:$P" &amp; (COUNTA(INDIRECT("'[" &amp; $B$1 &amp; ".xlsm]data'!$P:$P")))), {1,2,3,3.1,3.2,4,4.1,4.2,4.3,4.4,4.5,5,6,7,8,8.4,9}))</f>
        <v>#REF!</v>
      </c>
      <c r="F112" s="10" t="e">
        <f t="shared" ca="1" si="5"/>
        <v>#REF!</v>
      </c>
      <c r="G112" s="10" t="e">
        <f t="shared" ca="1" si="9"/>
        <v>#REF!</v>
      </c>
      <c r="H112" s="15"/>
      <c r="I112" s="11" t="e">
        <f t="shared" ca="1" si="6"/>
        <v>#REF!</v>
      </c>
    </row>
    <row r="113" spans="1:9" x14ac:dyDescent="0.25">
      <c r="A113" t="s">
        <v>104</v>
      </c>
      <c r="B113" s="10" t="e">
        <f t="shared" ca="1" si="7"/>
        <v>#REF!</v>
      </c>
      <c r="C113" s="13" t="e">
        <f t="shared" ca="1" si="10"/>
        <v>#REF!</v>
      </c>
      <c r="D113" s="11" t="e">
        <f t="shared" ca="1" si="10"/>
        <v>#REF!</v>
      </c>
      <c r="E113" s="10" t="e" cm="1">
        <f t="array" aca="1" ref="E113" ca="1">SUM(COUNTIFS(INDIRECT("'[" &amp; $B$1 &amp; ".xlsm]data'!$H$2:$H" &amp; (COUNTA(INDIRECT("'[" &amp; $B$1 &amp; ".xlsm]data'!$H:$H")))), $A113, INDIRECT("'[" &amp; $B$1 &amp; ".xlsm]data'!$P$2:$P" &amp; (COUNTA(INDIRECT("'[" &amp; $B$1 &amp; ".xlsm]data'!$P:$P")))), {1,2,3,3.1,3.2,4,4.1,4.2,4.3,4.4,4.5,5,6,7,8,8.4,9}))</f>
        <v>#REF!</v>
      </c>
      <c r="F113" s="10" t="e">
        <f t="shared" ca="1" si="5"/>
        <v>#REF!</v>
      </c>
      <c r="G113" s="10" t="e">
        <f t="shared" ca="1" si="9"/>
        <v>#REF!</v>
      </c>
      <c r="H113" s="15"/>
      <c r="I113" s="11" t="e">
        <f t="shared" ca="1" si="6"/>
        <v>#REF!</v>
      </c>
    </row>
    <row r="114" spans="1:9" x14ac:dyDescent="0.25">
      <c r="A114" t="s">
        <v>105</v>
      </c>
      <c r="B114" s="10" t="e">
        <f t="shared" ca="1" si="7"/>
        <v>#REF!</v>
      </c>
      <c r="C114" s="13" t="e">
        <f t="shared" ca="1" si="10"/>
        <v>#REF!</v>
      </c>
      <c r="D114" s="11" t="e">
        <f t="shared" ca="1" si="10"/>
        <v>#REF!</v>
      </c>
      <c r="E114" s="10" t="e" cm="1">
        <f t="array" aca="1" ref="E114" ca="1">SUM(COUNTIFS(INDIRECT("'[" &amp; $B$1 &amp; ".xlsm]data'!$H$2:$H" &amp; (COUNTA(INDIRECT("'[" &amp; $B$1 &amp; ".xlsm]data'!$H:$H")))), $A114, INDIRECT("'[" &amp; $B$1 &amp; ".xlsm]data'!$P$2:$P" &amp; (COUNTA(INDIRECT("'[" &amp; $B$1 &amp; ".xlsm]data'!$P:$P")))), {1,2,3,3.1,3.2,4,4.1,4.2,4.3,4.4,4.5,5,6,7,8,8.4,9}))</f>
        <v>#REF!</v>
      </c>
      <c r="F114" s="10" t="e">
        <f t="shared" ca="1" si="5"/>
        <v>#REF!</v>
      </c>
      <c r="G114" s="10" t="e">
        <f t="shared" ca="1" si="9"/>
        <v>#REF!</v>
      </c>
      <c r="H114" s="15"/>
      <c r="I114" s="11" t="e">
        <f t="shared" ca="1" si="6"/>
        <v>#REF!</v>
      </c>
    </row>
    <row r="115" spans="1:9" x14ac:dyDescent="0.25">
      <c r="A115" t="s">
        <v>106</v>
      </c>
      <c r="B115" s="10" t="e">
        <f t="shared" ca="1" si="7"/>
        <v>#REF!</v>
      </c>
      <c r="C115" s="13" t="e">
        <f t="shared" ca="1" si="10"/>
        <v>#REF!</v>
      </c>
      <c r="D115" s="11" t="e">
        <f t="shared" ca="1" si="10"/>
        <v>#REF!</v>
      </c>
      <c r="E115" s="10" t="e" cm="1">
        <f t="array" aca="1" ref="E115" ca="1">SUM(COUNTIFS(INDIRECT("'[" &amp; $B$1 &amp; ".xlsm]data'!$H$2:$H" &amp; (COUNTA(INDIRECT("'[" &amp; $B$1 &amp; ".xlsm]data'!$H:$H")))), $A115, INDIRECT("'[" &amp; $B$1 &amp; ".xlsm]data'!$P$2:$P" &amp; (COUNTA(INDIRECT("'[" &amp; $B$1 &amp; ".xlsm]data'!$P:$P")))), {1,2,3,3.1,3.2,4,4.1,4.2,4.3,4.4,4.5,5,6,7,8,8.4,9}))</f>
        <v>#REF!</v>
      </c>
      <c r="F115" s="10" t="e">
        <f t="shared" ca="1" si="5"/>
        <v>#REF!</v>
      </c>
      <c r="G115" s="10" t="e">
        <f t="shared" ca="1" si="9"/>
        <v>#REF!</v>
      </c>
      <c r="H115" s="15"/>
      <c r="I115" s="11" t="e">
        <f t="shared" ca="1" si="6"/>
        <v>#REF!</v>
      </c>
    </row>
    <row r="116" spans="1:9" x14ac:dyDescent="0.25">
      <c r="A116" t="s">
        <v>107</v>
      </c>
      <c r="B116" s="10" t="e">
        <f t="shared" ca="1" si="7"/>
        <v>#REF!</v>
      </c>
      <c r="C116" s="13" t="e">
        <f t="shared" ca="1" si="10"/>
        <v>#REF!</v>
      </c>
      <c r="D116" s="11" t="e">
        <f t="shared" ca="1" si="10"/>
        <v>#REF!</v>
      </c>
      <c r="E116" s="10" t="e" cm="1">
        <f t="array" aca="1" ref="E116" ca="1">SUM(COUNTIFS(INDIRECT("'[" &amp; $B$1 &amp; ".xlsm]data'!$H$2:$H" &amp; (COUNTA(INDIRECT("'[" &amp; $B$1 &amp; ".xlsm]data'!$H:$H")))), $A116, INDIRECT("'[" &amp; $B$1 &amp; ".xlsm]data'!$P$2:$P" &amp; (COUNTA(INDIRECT("'[" &amp; $B$1 &amp; ".xlsm]data'!$P:$P")))), {1,2,3,3.1,3.2,4,4.1,4.2,4.3,4.4,4.5,5,6,7,8,8.4,9}))</f>
        <v>#REF!</v>
      </c>
      <c r="F116" s="10" t="e">
        <f t="shared" ca="1" si="5"/>
        <v>#REF!</v>
      </c>
      <c r="G116" s="10" t="e">
        <f t="shared" ca="1" si="9"/>
        <v>#REF!</v>
      </c>
      <c r="H116" s="15"/>
      <c r="I116" s="11" t="e">
        <f t="shared" ca="1" si="6"/>
        <v>#REF!</v>
      </c>
    </row>
    <row r="117" spans="1:9" x14ac:dyDescent="0.25">
      <c r="A117" t="s">
        <v>108</v>
      </c>
      <c r="B117" s="10" t="e">
        <f t="shared" ca="1" si="7"/>
        <v>#REF!</v>
      </c>
      <c r="C117" s="13" t="e">
        <f t="shared" ca="1" si="10"/>
        <v>#REF!</v>
      </c>
      <c r="D117" s="11" t="e">
        <f t="shared" ca="1" si="10"/>
        <v>#REF!</v>
      </c>
      <c r="E117" s="10" t="e" cm="1">
        <f t="array" aca="1" ref="E117" ca="1">SUM(COUNTIFS(INDIRECT("'[" &amp; $B$1 &amp; ".xlsm]data'!$H$2:$H" &amp; (COUNTA(INDIRECT("'[" &amp; $B$1 &amp; ".xlsm]data'!$H:$H")))), $A117, INDIRECT("'[" &amp; $B$1 &amp; ".xlsm]data'!$P$2:$P" &amp; (COUNTA(INDIRECT("'[" &amp; $B$1 &amp; ".xlsm]data'!$P:$P")))), {1,2,3,3.1,3.2,4,4.1,4.2,4.3,4.4,4.5,5,6,7,8,8.4,9}))</f>
        <v>#REF!</v>
      </c>
      <c r="F117" s="10" t="e">
        <f t="shared" ca="1" si="5"/>
        <v>#REF!</v>
      </c>
      <c r="G117" s="10" t="e">
        <f t="shared" ca="1" si="9"/>
        <v>#REF!</v>
      </c>
      <c r="H117" s="15"/>
      <c r="I117" s="11" t="e">
        <f t="shared" ca="1" si="6"/>
        <v>#REF!</v>
      </c>
    </row>
    <row r="118" spans="1:9" x14ac:dyDescent="0.25">
      <c r="A118" t="s">
        <v>109</v>
      </c>
      <c r="B118" s="10" t="e">
        <f t="shared" ca="1" si="7"/>
        <v>#REF!</v>
      </c>
      <c r="C118" s="13" t="e">
        <f t="shared" ca="1" si="10"/>
        <v>#REF!</v>
      </c>
      <c r="D118" s="11" t="e">
        <f t="shared" ca="1" si="10"/>
        <v>#REF!</v>
      </c>
      <c r="E118" s="10" t="e" cm="1">
        <f t="array" aca="1" ref="E118" ca="1">SUM(COUNTIFS(INDIRECT("'[" &amp; $B$1 &amp; ".xlsm]data'!$H$2:$H" &amp; (COUNTA(INDIRECT("'[" &amp; $B$1 &amp; ".xlsm]data'!$H:$H")))), $A118, INDIRECT("'[" &amp; $B$1 &amp; ".xlsm]data'!$P$2:$P" &amp; (COUNTA(INDIRECT("'[" &amp; $B$1 &amp; ".xlsm]data'!$P:$P")))), {1,2,3,3.1,3.2,4,4.1,4.2,4.3,4.4,4.5,5,6,7,8,8.4,9}))</f>
        <v>#REF!</v>
      </c>
      <c r="F118" s="10" t="e">
        <f t="shared" ca="1" si="5"/>
        <v>#REF!</v>
      </c>
      <c r="G118" s="10" t="e">
        <f t="shared" ca="1" si="9"/>
        <v>#REF!</v>
      </c>
      <c r="H118" s="15"/>
      <c r="I118" s="11" t="e">
        <f t="shared" ca="1" si="6"/>
        <v>#REF!</v>
      </c>
    </row>
    <row r="119" spans="1:9" x14ac:dyDescent="0.25">
      <c r="A119" t="s">
        <v>110</v>
      </c>
      <c r="B119" s="10" t="e">
        <f t="shared" ca="1" si="7"/>
        <v>#REF!</v>
      </c>
      <c r="C119" s="13" t="e">
        <f t="shared" ca="1" si="10"/>
        <v>#REF!</v>
      </c>
      <c r="D119" s="11" t="e">
        <f t="shared" ca="1" si="10"/>
        <v>#REF!</v>
      </c>
      <c r="E119" s="10" t="e" cm="1">
        <f t="array" aca="1" ref="E119" ca="1">SUM(COUNTIFS(INDIRECT("'[" &amp; $B$1 &amp; ".xlsm]data'!$H$2:$H" &amp; (COUNTA(INDIRECT("'[" &amp; $B$1 &amp; ".xlsm]data'!$H:$H")))), $A119, INDIRECT("'[" &amp; $B$1 &amp; ".xlsm]data'!$P$2:$P" &amp; (COUNTA(INDIRECT("'[" &amp; $B$1 &amp; ".xlsm]data'!$P:$P")))), {1,2,3,3.1,3.2,4,4.1,4.2,4.3,4.4,4.5,5,6,7,8,8.4,9}))</f>
        <v>#REF!</v>
      </c>
      <c r="F119" s="10" t="e">
        <f t="shared" ca="1" si="5"/>
        <v>#REF!</v>
      </c>
      <c r="G119" s="10" t="e">
        <f t="shared" ca="1" si="9"/>
        <v>#REF!</v>
      </c>
      <c r="H119" s="15"/>
      <c r="I119" s="11" t="e">
        <f t="shared" ca="1" si="6"/>
        <v>#REF!</v>
      </c>
    </row>
    <row r="120" spans="1:9" x14ac:dyDescent="0.25">
      <c r="A120" t="s">
        <v>282</v>
      </c>
      <c r="B120" s="10" t="e">
        <f t="shared" ca="1" si="7"/>
        <v>#REF!</v>
      </c>
      <c r="C120" s="13" t="e">
        <f t="shared" ca="1" si="10"/>
        <v>#REF!</v>
      </c>
      <c r="D120" s="11" t="e">
        <f t="shared" ca="1" si="10"/>
        <v>#REF!</v>
      </c>
      <c r="E120" s="10" t="e" cm="1">
        <f t="array" aca="1" ref="E120" ca="1">SUM(COUNTIFS(INDIRECT("'[" &amp; $B$1 &amp; ".xlsm]data'!$H$2:$H" &amp; (COUNTA(INDIRECT("'[" &amp; $B$1 &amp; ".xlsm]data'!$H:$H")))), $A120, INDIRECT("'[" &amp; $B$1 &amp; ".xlsm]data'!$P$2:$P" &amp; (COUNTA(INDIRECT("'[" &amp; $B$1 &amp; ".xlsm]data'!$P:$P")))), {1,2,3,3.1,3.2,4,4.1,4.2,4.3,4.4,4.5,5,6,7,8,8.4,9}))</f>
        <v>#REF!</v>
      </c>
      <c r="F120" s="10" t="e">
        <f t="shared" ca="1" si="5"/>
        <v>#REF!</v>
      </c>
      <c r="G120" s="10" t="e">
        <f t="shared" ca="1" si="9"/>
        <v>#REF!</v>
      </c>
      <c r="H120" s="15"/>
      <c r="I120" s="11" t="e">
        <f t="shared" ca="1" si="6"/>
        <v>#REF!</v>
      </c>
    </row>
    <row r="121" spans="1:9" x14ac:dyDescent="0.25">
      <c r="A121" t="s">
        <v>111</v>
      </c>
      <c r="B121" s="10" t="e">
        <f t="shared" ca="1" si="7"/>
        <v>#REF!</v>
      </c>
      <c r="C121" s="13" t="e">
        <f t="shared" ca="1" si="10"/>
        <v>#REF!</v>
      </c>
      <c r="D121" s="11" t="e">
        <f t="shared" ca="1" si="10"/>
        <v>#REF!</v>
      </c>
      <c r="E121" s="10" t="e" cm="1">
        <f t="array" aca="1" ref="E121" ca="1">SUM(COUNTIFS(INDIRECT("'[" &amp; $B$1 &amp; ".xlsm]data'!$H$2:$H" &amp; (COUNTA(INDIRECT("'[" &amp; $B$1 &amp; ".xlsm]data'!$H:$H")))), $A121, INDIRECT("'[" &amp; $B$1 &amp; ".xlsm]data'!$P$2:$P" &amp; (COUNTA(INDIRECT("'[" &amp; $B$1 &amp; ".xlsm]data'!$P:$P")))), {1,2,3,3.1,3.2,4,4.1,4.2,4.3,4.4,4.5,5,6,7,8,8.4,9}))</f>
        <v>#REF!</v>
      </c>
      <c r="F121" s="10" t="e">
        <f t="shared" ca="1" si="5"/>
        <v>#REF!</v>
      </c>
      <c r="G121" s="10" t="e">
        <f t="shared" ca="1" si="9"/>
        <v>#REF!</v>
      </c>
      <c r="H121" s="15"/>
      <c r="I121" s="11" t="e">
        <f t="shared" ca="1" si="6"/>
        <v>#REF!</v>
      </c>
    </row>
    <row r="122" spans="1:9" x14ac:dyDescent="0.25">
      <c r="A122" t="s">
        <v>112</v>
      </c>
      <c r="B122" s="10" t="e">
        <f t="shared" ca="1" si="7"/>
        <v>#REF!</v>
      </c>
      <c r="C122" s="13" t="e">
        <f t="shared" ca="1" si="10"/>
        <v>#REF!</v>
      </c>
      <c r="D122" s="11" t="e">
        <f t="shared" ca="1" si="10"/>
        <v>#REF!</v>
      </c>
      <c r="E122" s="10" t="e" cm="1">
        <f t="array" aca="1" ref="E122" ca="1">SUM(COUNTIFS(INDIRECT("'[" &amp; $B$1 &amp; ".xlsm]data'!$H$2:$H" &amp; (COUNTA(INDIRECT("'[" &amp; $B$1 &amp; ".xlsm]data'!$H:$H")))), $A122, INDIRECT("'[" &amp; $B$1 &amp; ".xlsm]data'!$P$2:$P" &amp; (COUNTA(INDIRECT("'[" &amp; $B$1 &amp; ".xlsm]data'!$P:$P")))), {1,2,3,3.1,3.2,4,4.1,4.2,4.3,4.4,4.5,5,6,7,8,8.4,9}))</f>
        <v>#REF!</v>
      </c>
      <c r="F122" s="10" t="e">
        <f t="shared" ca="1" si="5"/>
        <v>#REF!</v>
      </c>
      <c r="G122" s="10" t="e">
        <f t="shared" ca="1" si="9"/>
        <v>#REF!</v>
      </c>
      <c r="H122" s="15"/>
      <c r="I122" s="11" t="e">
        <f t="shared" ca="1" si="6"/>
        <v>#REF!</v>
      </c>
    </row>
    <row r="123" spans="1:9" x14ac:dyDescent="0.25">
      <c r="A123" t="s">
        <v>113</v>
      </c>
      <c r="B123" s="10" t="e">
        <f t="shared" ca="1" si="7"/>
        <v>#REF!</v>
      </c>
      <c r="C123" s="13" t="e">
        <f t="shared" ca="1" si="10"/>
        <v>#REF!</v>
      </c>
      <c r="D123" s="11" t="e">
        <f t="shared" ca="1" si="10"/>
        <v>#REF!</v>
      </c>
      <c r="E123" s="10" t="e" cm="1">
        <f t="array" aca="1" ref="E123" ca="1">SUM(COUNTIFS(INDIRECT("'[" &amp; $B$1 &amp; ".xlsm]data'!$H$2:$H" &amp; (COUNTA(INDIRECT("'[" &amp; $B$1 &amp; ".xlsm]data'!$H:$H")))), $A123, INDIRECT("'[" &amp; $B$1 &amp; ".xlsm]data'!$P$2:$P" &amp; (COUNTA(INDIRECT("'[" &amp; $B$1 &amp; ".xlsm]data'!$P:$P")))), {1,2,3,3.1,3.2,4,4.1,4.2,4.3,4.4,4.5,5,6,7,8,8.4,9}))</f>
        <v>#REF!</v>
      </c>
      <c r="F123" s="10" t="e">
        <f t="shared" ca="1" si="5"/>
        <v>#REF!</v>
      </c>
      <c r="G123" s="10" t="e">
        <f t="shared" ca="1" si="9"/>
        <v>#REF!</v>
      </c>
      <c r="H123" s="15"/>
      <c r="I123" s="11" t="e">
        <f t="shared" ca="1" si="6"/>
        <v>#REF!</v>
      </c>
    </row>
    <row r="124" spans="1:9" x14ac:dyDescent="0.25">
      <c r="A124" t="s">
        <v>114</v>
      </c>
      <c r="B124" s="10" t="e">
        <f t="shared" ca="1" si="7"/>
        <v>#REF!</v>
      </c>
      <c r="C124" s="13" t="e">
        <f t="shared" ca="1" si="10"/>
        <v>#REF!</v>
      </c>
      <c r="D124" s="11" t="e">
        <f t="shared" ca="1" si="10"/>
        <v>#REF!</v>
      </c>
      <c r="E124" s="10" t="e" cm="1">
        <f t="array" aca="1" ref="E124" ca="1">SUM(COUNTIFS(INDIRECT("'[" &amp; $B$1 &amp; ".xlsm]data'!$H$2:$H" &amp; (COUNTA(INDIRECT("'[" &amp; $B$1 &amp; ".xlsm]data'!$H:$H")))), $A124, INDIRECT("'[" &amp; $B$1 &amp; ".xlsm]data'!$P$2:$P" &amp; (COUNTA(INDIRECT("'[" &amp; $B$1 &amp; ".xlsm]data'!$P:$P")))), {1,2,3,3.1,3.2,4,4.1,4.2,4.3,4.4,4.5,5,6,7,8,8.4,9}))</f>
        <v>#REF!</v>
      </c>
      <c r="F124" s="10" t="e">
        <f t="shared" ca="1" si="5"/>
        <v>#REF!</v>
      </c>
      <c r="G124" s="10" t="e">
        <f t="shared" ca="1" si="9"/>
        <v>#REF!</v>
      </c>
      <c r="H124" s="15"/>
      <c r="I124" s="11" t="e">
        <f t="shared" ca="1" si="6"/>
        <v>#REF!</v>
      </c>
    </row>
    <row r="125" spans="1:9" x14ac:dyDescent="0.25">
      <c r="A125" t="s">
        <v>115</v>
      </c>
      <c r="B125" s="10" t="e">
        <f t="shared" ca="1" si="7"/>
        <v>#REF!</v>
      </c>
      <c r="C125" s="13" t="e">
        <f t="shared" ca="1" si="10"/>
        <v>#REF!</v>
      </c>
      <c r="D125" s="11" t="e">
        <f t="shared" ca="1" si="10"/>
        <v>#REF!</v>
      </c>
      <c r="E125" s="10" t="e" cm="1">
        <f t="array" aca="1" ref="E125" ca="1">SUM(COUNTIFS(INDIRECT("'[" &amp; $B$1 &amp; ".xlsm]data'!$H$2:$H" &amp; (COUNTA(INDIRECT("'[" &amp; $B$1 &amp; ".xlsm]data'!$H:$H")))), $A125, INDIRECT("'[" &amp; $B$1 &amp; ".xlsm]data'!$P$2:$P" &amp; (COUNTA(INDIRECT("'[" &amp; $B$1 &amp; ".xlsm]data'!$P:$P")))), {1,2,3,3.1,3.2,4,4.1,4.2,4.3,4.4,4.5,5,6,7,8,8.4,9}))</f>
        <v>#REF!</v>
      </c>
      <c r="F125" s="10" t="e">
        <f t="shared" ca="1" si="5"/>
        <v>#REF!</v>
      </c>
      <c r="G125" s="10" t="e">
        <f t="shared" ca="1" si="9"/>
        <v>#REF!</v>
      </c>
      <c r="H125" s="15"/>
      <c r="I125" s="11" t="e">
        <f t="shared" ca="1" si="6"/>
        <v>#REF!</v>
      </c>
    </row>
    <row r="126" spans="1:9" x14ac:dyDescent="0.25">
      <c r="A126" t="s">
        <v>116</v>
      </c>
      <c r="B126" s="10" t="e">
        <f t="shared" ca="1" si="7"/>
        <v>#REF!</v>
      </c>
      <c r="C126" s="13" t="e">
        <f t="shared" ca="1" si="10"/>
        <v>#REF!</v>
      </c>
      <c r="D126" s="11" t="e">
        <f t="shared" ca="1" si="10"/>
        <v>#REF!</v>
      </c>
      <c r="E126" s="10" t="e" cm="1">
        <f t="array" aca="1" ref="E126" ca="1">SUM(COUNTIFS(INDIRECT("'[" &amp; $B$1 &amp; ".xlsm]data'!$H$2:$H" &amp; (COUNTA(INDIRECT("'[" &amp; $B$1 &amp; ".xlsm]data'!$H:$H")))), $A126, INDIRECT("'[" &amp; $B$1 &amp; ".xlsm]data'!$P$2:$P" &amp; (COUNTA(INDIRECT("'[" &amp; $B$1 &amp; ".xlsm]data'!$P:$P")))), {1,2,3,3.1,3.2,4,4.1,4.2,4.3,4.4,4.5,5,6,7,8,8.4,9}))</f>
        <v>#REF!</v>
      </c>
      <c r="F126" s="10" t="e">
        <f t="shared" ca="1" si="5"/>
        <v>#REF!</v>
      </c>
      <c r="G126" s="10" t="e">
        <f t="shared" ca="1" si="9"/>
        <v>#REF!</v>
      </c>
      <c r="H126" s="15"/>
      <c r="I126" s="11" t="e">
        <f t="shared" ca="1" si="6"/>
        <v>#REF!</v>
      </c>
    </row>
    <row r="127" spans="1:9" x14ac:dyDescent="0.25">
      <c r="A127" t="s">
        <v>117</v>
      </c>
      <c r="B127" s="10" t="e">
        <f t="shared" ca="1" si="7"/>
        <v>#REF!</v>
      </c>
      <c r="C127" s="13" t="e">
        <f t="shared" ca="1" si="10"/>
        <v>#REF!</v>
      </c>
      <c r="D127" s="11" t="e">
        <f t="shared" ca="1" si="10"/>
        <v>#REF!</v>
      </c>
      <c r="E127" s="10" t="e" cm="1">
        <f t="array" aca="1" ref="E127" ca="1">SUM(COUNTIFS(INDIRECT("'[" &amp; $B$1 &amp; ".xlsm]data'!$H$2:$H" &amp; (COUNTA(INDIRECT("'[" &amp; $B$1 &amp; ".xlsm]data'!$H:$H")))), $A127, INDIRECT("'[" &amp; $B$1 &amp; ".xlsm]data'!$P$2:$P" &amp; (COUNTA(INDIRECT("'[" &amp; $B$1 &amp; ".xlsm]data'!$P:$P")))), {1,2,3,3.1,3.2,4,4.1,4.2,4.3,4.4,4.5,5,6,7,8,8.4,9}))</f>
        <v>#REF!</v>
      </c>
      <c r="F127" s="10" t="e">
        <f t="shared" ca="1" si="5"/>
        <v>#REF!</v>
      </c>
      <c r="G127" s="10" t="e">
        <f t="shared" ca="1" si="9"/>
        <v>#REF!</v>
      </c>
      <c r="H127" s="15"/>
      <c r="I127" s="11" t="e">
        <f t="shared" ca="1" si="6"/>
        <v>#REF!</v>
      </c>
    </row>
    <row r="128" spans="1:9" x14ac:dyDescent="0.25">
      <c r="A128" t="s">
        <v>118</v>
      </c>
      <c r="B128" s="10" t="e">
        <f t="shared" ca="1" si="7"/>
        <v>#REF!</v>
      </c>
      <c r="C128" s="13" t="e">
        <f t="shared" ca="1" si="10"/>
        <v>#REF!</v>
      </c>
      <c r="D128" s="11" t="e">
        <f t="shared" ca="1" si="10"/>
        <v>#REF!</v>
      </c>
      <c r="E128" s="10" t="e" cm="1">
        <f t="array" aca="1" ref="E128" ca="1">SUM(COUNTIFS(INDIRECT("'[" &amp; $B$1 &amp; ".xlsm]data'!$H$2:$H" &amp; (COUNTA(INDIRECT("'[" &amp; $B$1 &amp; ".xlsm]data'!$H:$H")))), $A128, INDIRECT("'[" &amp; $B$1 &amp; ".xlsm]data'!$P$2:$P" &amp; (COUNTA(INDIRECT("'[" &amp; $B$1 &amp; ".xlsm]data'!$P:$P")))), {1,2,3,3.1,3.2,4,4.1,4.2,4.3,4.4,4.5,5,6,7,8,8.4,9}))</f>
        <v>#REF!</v>
      </c>
      <c r="F128" s="10" t="e">
        <f t="shared" ca="1" si="5"/>
        <v>#REF!</v>
      </c>
      <c r="G128" s="10" t="e">
        <f t="shared" ca="1" si="9"/>
        <v>#REF!</v>
      </c>
      <c r="H128" s="15"/>
      <c r="I128" s="11" t="e">
        <f t="shared" ca="1" si="6"/>
        <v>#REF!</v>
      </c>
    </row>
    <row r="129" spans="1:9" x14ac:dyDescent="0.25">
      <c r="A129" t="s">
        <v>119</v>
      </c>
      <c r="B129" s="10" t="e">
        <f t="shared" ca="1" si="7"/>
        <v>#REF!</v>
      </c>
      <c r="C129" s="13" t="e">
        <f t="shared" ca="1" si="10"/>
        <v>#REF!</v>
      </c>
      <c r="D129" s="11" t="e">
        <f t="shared" ca="1" si="10"/>
        <v>#REF!</v>
      </c>
      <c r="E129" s="10" t="e" cm="1">
        <f t="array" aca="1" ref="E129" ca="1">SUM(COUNTIFS(INDIRECT("'[" &amp; $B$1 &amp; ".xlsm]data'!$H$2:$H" &amp; (COUNTA(INDIRECT("'[" &amp; $B$1 &amp; ".xlsm]data'!$H:$H")))), $A129, INDIRECT("'[" &amp; $B$1 &amp; ".xlsm]data'!$P$2:$P" &amp; (COUNTA(INDIRECT("'[" &amp; $B$1 &amp; ".xlsm]data'!$P:$P")))), {1,2,3,3.1,3.2,4,4.1,4.2,4.3,4.4,4.5,5,6,7,8,8.4,9}))</f>
        <v>#REF!</v>
      </c>
      <c r="F129" s="10" t="e">
        <f t="shared" ca="1" si="5"/>
        <v>#REF!</v>
      </c>
      <c r="G129" s="10" t="e">
        <f t="shared" ca="1" si="9"/>
        <v>#REF!</v>
      </c>
      <c r="H129" s="15"/>
      <c r="I129" s="11" t="e">
        <f t="shared" ca="1" si="6"/>
        <v>#REF!</v>
      </c>
    </row>
    <row r="130" spans="1:9" x14ac:dyDescent="0.25">
      <c r="A130" t="s">
        <v>120</v>
      </c>
      <c r="B130" s="10" t="e">
        <f t="shared" ca="1" si="7"/>
        <v>#REF!</v>
      </c>
      <c r="C130" s="13" t="e">
        <f t="shared" ca="1" si="10"/>
        <v>#REF!</v>
      </c>
      <c r="D130" s="11" t="e">
        <f t="shared" ca="1" si="10"/>
        <v>#REF!</v>
      </c>
      <c r="E130" s="10" t="e" cm="1">
        <f t="array" aca="1" ref="E130" ca="1">SUM(COUNTIFS(INDIRECT("'[" &amp; $B$1 &amp; ".xlsm]data'!$H$2:$H" &amp; (COUNTA(INDIRECT("'[" &amp; $B$1 &amp; ".xlsm]data'!$H:$H")))), $A130, INDIRECT("'[" &amp; $B$1 &amp; ".xlsm]data'!$P$2:$P" &amp; (COUNTA(INDIRECT("'[" &amp; $B$1 &amp; ".xlsm]data'!$P:$P")))), {1,2,3,3.1,3.2,4,4.1,4.2,4.3,4.4,4.5,5,6,7,8,8.4,9}))</f>
        <v>#REF!</v>
      </c>
      <c r="F130" s="10" t="e">
        <f t="shared" ca="1" si="5"/>
        <v>#REF!</v>
      </c>
      <c r="G130" s="10" t="e">
        <f t="shared" ca="1" si="9"/>
        <v>#REF!</v>
      </c>
      <c r="H130" s="15"/>
      <c r="I130" s="11" t="e">
        <f t="shared" ca="1" si="6"/>
        <v>#REF!</v>
      </c>
    </row>
    <row r="131" spans="1:9" x14ac:dyDescent="0.25">
      <c r="A131" t="s">
        <v>121</v>
      </c>
      <c r="B131" s="10" t="e">
        <f t="shared" ca="1" si="7"/>
        <v>#REF!</v>
      </c>
      <c r="C131" s="13" t="e">
        <f t="shared" ca="1" si="10"/>
        <v>#REF!</v>
      </c>
      <c r="D131" s="11" t="e">
        <f t="shared" ca="1" si="10"/>
        <v>#REF!</v>
      </c>
      <c r="E131" s="10" t="e" cm="1">
        <f t="array" aca="1" ref="E131" ca="1">SUM(COUNTIFS(INDIRECT("'[" &amp; $B$1 &amp; ".xlsm]data'!$H$2:$H" &amp; (COUNTA(INDIRECT("'[" &amp; $B$1 &amp; ".xlsm]data'!$H:$H")))), $A131, INDIRECT("'[" &amp; $B$1 &amp; ".xlsm]data'!$P$2:$P" &amp; (COUNTA(INDIRECT("'[" &amp; $B$1 &amp; ".xlsm]data'!$P:$P")))), {1,2,3,3.1,3.2,4,4.1,4.2,4.3,4.4,4.5,5,6,7,8,8.4,9}))</f>
        <v>#REF!</v>
      </c>
      <c r="F131" s="10" t="e">
        <f t="shared" ca="1" si="5"/>
        <v>#REF!</v>
      </c>
      <c r="G131" s="10" t="e">
        <f t="shared" ca="1" si="9"/>
        <v>#REF!</v>
      </c>
      <c r="H131" s="15"/>
      <c r="I131" s="11" t="e">
        <f t="shared" ca="1" si="6"/>
        <v>#REF!</v>
      </c>
    </row>
    <row r="132" spans="1:9" x14ac:dyDescent="0.25">
      <c r="A132" t="s">
        <v>122</v>
      </c>
      <c r="B132" s="10" t="e">
        <f t="shared" ca="1" si="7"/>
        <v>#REF!</v>
      </c>
      <c r="C132" s="13" t="e">
        <f t="shared" ca="1" si="10"/>
        <v>#REF!</v>
      </c>
      <c r="D132" s="11" t="e">
        <f t="shared" ca="1" si="10"/>
        <v>#REF!</v>
      </c>
      <c r="E132" s="10" t="e" cm="1">
        <f t="array" aca="1" ref="E132" ca="1">SUM(COUNTIFS(INDIRECT("'[" &amp; $B$1 &amp; ".xlsm]data'!$H$2:$H" &amp; (COUNTA(INDIRECT("'[" &amp; $B$1 &amp; ".xlsm]data'!$H:$H")))), $A132, INDIRECT("'[" &amp; $B$1 &amp; ".xlsm]data'!$P$2:$P" &amp; (COUNTA(INDIRECT("'[" &amp; $B$1 &amp; ".xlsm]data'!$P:$P")))), {1,2,3,3.1,3.2,4,4.1,4.2,4.3,4.4,4.5,5,6,7,8,8.4,9}))</f>
        <v>#REF!</v>
      </c>
      <c r="F132" s="10" t="e">
        <f t="shared" ca="1" si="5"/>
        <v>#REF!</v>
      </c>
      <c r="G132" s="10" t="e">
        <f t="shared" ca="1" si="9"/>
        <v>#REF!</v>
      </c>
      <c r="H132" s="15"/>
      <c r="I132" s="11" t="e">
        <f t="shared" ca="1" si="6"/>
        <v>#REF!</v>
      </c>
    </row>
    <row r="133" spans="1:9" x14ac:dyDescent="0.25">
      <c r="A133" t="s">
        <v>123</v>
      </c>
      <c r="B133" s="10" t="e">
        <f t="shared" ca="1" si="7"/>
        <v>#REF!</v>
      </c>
      <c r="C133" s="13" t="e">
        <f t="shared" ca="1" si="10"/>
        <v>#REF!</v>
      </c>
      <c r="D133" s="11" t="e">
        <f t="shared" ca="1" si="10"/>
        <v>#REF!</v>
      </c>
      <c r="E133" s="10" t="e" cm="1">
        <f t="array" aca="1" ref="E133" ca="1">SUM(COUNTIFS(INDIRECT("'[" &amp; $B$1 &amp; ".xlsm]data'!$H$2:$H" &amp; (COUNTA(INDIRECT("'[" &amp; $B$1 &amp; ".xlsm]data'!$H:$H")))), $A133, INDIRECT("'[" &amp; $B$1 &amp; ".xlsm]data'!$P$2:$P" &amp; (COUNTA(INDIRECT("'[" &amp; $B$1 &amp; ".xlsm]data'!$P:$P")))), {1,2,3,3.1,3.2,4,4.1,4.2,4.3,4.4,4.5,5,6,7,8,8.4,9}))</f>
        <v>#REF!</v>
      </c>
      <c r="F133" s="10" t="e">
        <f t="shared" ca="1" si="5"/>
        <v>#REF!</v>
      </c>
      <c r="G133" s="10" t="e">
        <f t="shared" ca="1" si="9"/>
        <v>#REF!</v>
      </c>
      <c r="H133" s="15"/>
      <c r="I133" s="11" t="e">
        <f t="shared" ca="1" si="6"/>
        <v>#REF!</v>
      </c>
    </row>
    <row r="134" spans="1:9" x14ac:dyDescent="0.25">
      <c r="A134" t="s">
        <v>124</v>
      </c>
      <c r="B134" s="10" t="e">
        <f t="shared" ca="1" si="7"/>
        <v>#REF!</v>
      </c>
      <c r="C134" s="13" t="e">
        <f t="shared" ca="1" si="10"/>
        <v>#REF!</v>
      </c>
      <c r="D134" s="11" t="e">
        <f t="shared" ca="1" si="10"/>
        <v>#REF!</v>
      </c>
      <c r="E134" s="10" t="e" cm="1">
        <f t="array" aca="1" ref="E134" ca="1">SUM(COUNTIFS(INDIRECT("'[" &amp; $B$1 &amp; ".xlsm]data'!$H$2:$H" &amp; (COUNTA(INDIRECT("'[" &amp; $B$1 &amp; ".xlsm]data'!$H:$H")))), $A134, INDIRECT("'[" &amp; $B$1 &amp; ".xlsm]data'!$P$2:$P" &amp; (COUNTA(INDIRECT("'[" &amp; $B$1 &amp; ".xlsm]data'!$P:$P")))), {1,2,3,3.1,3.2,4,4.1,4.2,4.3,4.4,4.5,5,6,7,8,8.4,9}))</f>
        <v>#REF!</v>
      </c>
      <c r="F134" s="10" t="e">
        <f t="shared" ca="1" si="5"/>
        <v>#REF!</v>
      </c>
      <c r="G134" s="10" t="e">
        <f t="shared" ca="1" si="9"/>
        <v>#REF!</v>
      </c>
      <c r="H134" s="15"/>
      <c r="I134" s="11" t="e">
        <f t="shared" ca="1" si="6"/>
        <v>#REF!</v>
      </c>
    </row>
    <row r="135" spans="1:9" x14ac:dyDescent="0.25">
      <c r="A135" t="s">
        <v>125</v>
      </c>
      <c r="B135" s="10" t="e">
        <f t="shared" ca="1" si="7"/>
        <v>#REF!</v>
      </c>
      <c r="C135" s="13" t="e">
        <f t="shared" ca="1" si="10"/>
        <v>#REF!</v>
      </c>
      <c r="D135" s="11" t="e">
        <f t="shared" ca="1" si="10"/>
        <v>#REF!</v>
      </c>
      <c r="E135" s="10" t="e" cm="1">
        <f t="array" aca="1" ref="E135" ca="1">SUM(COUNTIFS(INDIRECT("'[" &amp; $B$1 &amp; ".xlsm]data'!$H$2:$H" &amp; (COUNTA(INDIRECT("'[" &amp; $B$1 &amp; ".xlsm]data'!$H:$H")))), $A135, INDIRECT("'[" &amp; $B$1 &amp; ".xlsm]data'!$P$2:$P" &amp; (COUNTA(INDIRECT("'[" &amp; $B$1 &amp; ".xlsm]data'!$P:$P")))), {1,2,3,3.1,3.2,4,4.1,4.2,4.3,4.4,4.5,5,6,7,8,8.4,9}))</f>
        <v>#REF!</v>
      </c>
      <c r="F135" s="10" t="e">
        <f t="shared" ca="1" si="5"/>
        <v>#REF!</v>
      </c>
      <c r="G135" s="10" t="e">
        <f t="shared" ca="1" si="9"/>
        <v>#REF!</v>
      </c>
      <c r="H135" s="15"/>
      <c r="I135" s="11" t="e">
        <f t="shared" ca="1" si="6"/>
        <v>#REF!</v>
      </c>
    </row>
    <row r="136" spans="1:9" x14ac:dyDescent="0.25">
      <c r="A136" t="s">
        <v>126</v>
      </c>
      <c r="B136" s="10" t="e">
        <f t="shared" ca="1" si="7"/>
        <v>#REF!</v>
      </c>
      <c r="C136" s="13" t="e">
        <f t="shared" ca="1" si="10"/>
        <v>#REF!</v>
      </c>
      <c r="D136" s="11" t="e">
        <f t="shared" ca="1" si="10"/>
        <v>#REF!</v>
      </c>
      <c r="E136" s="10" t="e" cm="1">
        <f t="array" aca="1" ref="E136" ca="1">SUM(COUNTIFS(INDIRECT("'[" &amp; $B$1 &amp; ".xlsm]data'!$H$2:$H" &amp; (COUNTA(INDIRECT("'[" &amp; $B$1 &amp; ".xlsm]data'!$H:$H")))), $A136, INDIRECT("'[" &amp; $B$1 &amp; ".xlsm]data'!$P$2:$P" &amp; (COUNTA(INDIRECT("'[" &amp; $B$1 &amp; ".xlsm]data'!$P:$P")))), {1,2,3,3.1,3.2,4,4.1,4.2,4.3,4.4,4.5,5,6,7,8,8.4,9}))</f>
        <v>#REF!</v>
      </c>
      <c r="F136" s="10" t="e">
        <f t="shared" ca="1" si="5"/>
        <v>#REF!</v>
      </c>
      <c r="G136" s="10" t="e">
        <f t="shared" ca="1" si="9"/>
        <v>#REF!</v>
      </c>
      <c r="H136" s="15"/>
      <c r="I136" s="11" t="e">
        <f t="shared" ca="1" si="6"/>
        <v>#REF!</v>
      </c>
    </row>
    <row r="137" spans="1:9" x14ac:dyDescent="0.25">
      <c r="A137" t="s">
        <v>127</v>
      </c>
      <c r="B137" s="10" t="e">
        <f t="shared" ca="1" si="7"/>
        <v>#REF!</v>
      </c>
      <c r="C137" s="13" t="e">
        <f t="shared" ca="1" si="10"/>
        <v>#REF!</v>
      </c>
      <c r="D137" s="11" t="e">
        <f t="shared" ca="1" si="10"/>
        <v>#REF!</v>
      </c>
      <c r="E137" s="10" t="e" cm="1">
        <f t="array" aca="1" ref="E137" ca="1">SUM(COUNTIFS(INDIRECT("'[" &amp; $B$1 &amp; ".xlsm]data'!$H$2:$H" &amp; (COUNTA(INDIRECT("'[" &amp; $B$1 &amp; ".xlsm]data'!$H:$H")))), $A137, INDIRECT("'[" &amp; $B$1 &amp; ".xlsm]data'!$P$2:$P" &amp; (COUNTA(INDIRECT("'[" &amp; $B$1 &amp; ".xlsm]data'!$P:$P")))), {1,2,3,3.1,3.2,4,4.1,4.2,4.3,4.4,4.5,5,6,7,8,8.4,9}))</f>
        <v>#REF!</v>
      </c>
      <c r="F137" s="10" t="e">
        <f t="shared" ca="1" si="5"/>
        <v>#REF!</v>
      </c>
      <c r="G137" s="10" t="e">
        <f t="shared" ca="1" si="9"/>
        <v>#REF!</v>
      </c>
      <c r="H137" s="15"/>
      <c r="I137" s="11" t="e">
        <f t="shared" ca="1" si="6"/>
        <v>#REF!</v>
      </c>
    </row>
    <row r="138" spans="1:9" x14ac:dyDescent="0.25">
      <c r="A138" t="s">
        <v>128</v>
      </c>
      <c r="B138" s="10" t="e">
        <f t="shared" ca="1" si="7"/>
        <v>#REF!</v>
      </c>
      <c r="C138" s="13" t="e">
        <f t="shared" ca="1" si="10"/>
        <v>#REF!</v>
      </c>
      <c r="D138" s="11" t="e">
        <f t="shared" ca="1" si="10"/>
        <v>#REF!</v>
      </c>
      <c r="E138" s="10" t="e" cm="1">
        <f t="array" aca="1" ref="E138" ca="1">SUM(COUNTIFS(INDIRECT("'[" &amp; $B$1 &amp; ".xlsm]data'!$H$2:$H" &amp; (COUNTA(INDIRECT("'[" &amp; $B$1 &amp; ".xlsm]data'!$H:$H")))), $A138, INDIRECT("'[" &amp; $B$1 &amp; ".xlsm]data'!$P$2:$P" &amp; (COUNTA(INDIRECT("'[" &amp; $B$1 &amp; ".xlsm]data'!$P:$P")))), {1,2,3,3.1,3.2,4,4.1,4.2,4.3,4.4,4.5,5,6,7,8,8.4,9}))</f>
        <v>#REF!</v>
      </c>
      <c r="F138" s="10" t="e">
        <f t="shared" ref="F138:F201" ca="1" si="11">COUNTIFS(INDIRECT("[" &amp; $B$1 &amp; ".xlsm]data!$H:$H"), $A138, (INDIRECT("[" &amp; $B$1 &amp; ".xlsm]data!$V:$V")),"")</f>
        <v>#REF!</v>
      </c>
      <c r="G138" s="10" t="e">
        <f t="shared" ca="1" si="9"/>
        <v>#REF!</v>
      </c>
      <c r="H138" s="15"/>
      <c r="I138" s="11" t="e">
        <f t="shared" ref="I138:I201" ca="1" si="12">IF(B138&lt;&gt;G138, "no", "yes")</f>
        <v>#REF!</v>
      </c>
    </row>
    <row r="139" spans="1:9" x14ac:dyDescent="0.25">
      <c r="A139" t="s">
        <v>241</v>
      </c>
      <c r="B139" s="10" t="e">
        <f t="shared" ref="B139:B202" ca="1" si="13">COUNTIF(INDIRECT("'[" &amp; $B$1 &amp; ".xlsm]data'!$I:$I"), $A139)</f>
        <v>#REF!</v>
      </c>
      <c r="C139" s="13" t="e">
        <f t="shared" ref="C139:D170" ca="1" si="14">COUNTIFS(INDIRECT("'[" &amp; $B$1 &amp; ".xlsm]data'!$I:$I"), $A139,(INDIRECT("'[" &amp; $B$1 &amp; ".xlsm]data'!$A:$A")), C$8)</f>
        <v>#REF!</v>
      </c>
      <c r="D139" s="11" t="e">
        <f t="shared" ca="1" si="14"/>
        <v>#REF!</v>
      </c>
      <c r="E139" s="10" t="e" cm="1">
        <f t="array" aca="1" ref="E139" ca="1">SUM(COUNTIFS(INDIRECT("'[" &amp; $B$1 &amp; ".xlsm]data'!$H$2:$H" &amp; (COUNTA(INDIRECT("'[" &amp; $B$1 &amp; ".xlsm]data'!$H:$H")))), $A139, INDIRECT("'[" &amp; $B$1 &amp; ".xlsm]data'!$P$2:$P" &amp; (COUNTA(INDIRECT("'[" &amp; $B$1 &amp; ".xlsm]data'!$P:$P")))), {1,2,3,3.1,3.2,4,4.1,4.2,4.3,4.4,4.5,5,6,7,8,8.4,9}))</f>
        <v>#REF!</v>
      </c>
      <c r="F139" s="10" t="e">
        <f t="shared" ca="1" si="11"/>
        <v>#REF!</v>
      </c>
      <c r="G139" s="10" t="e">
        <f t="shared" ref="G139:G202" ca="1" si="15">COUNTIF(INDIRECT("'[" &amp; $B$2 &amp; ".xlsx]Sheet2'!" &amp; "$H:$H"), $A139)</f>
        <v>#REF!</v>
      </c>
      <c r="H139" s="15"/>
      <c r="I139" s="11" t="e">
        <f t="shared" ca="1" si="12"/>
        <v>#REF!</v>
      </c>
    </row>
    <row r="140" spans="1:9" x14ac:dyDescent="0.25">
      <c r="A140" t="s">
        <v>129</v>
      </c>
      <c r="B140" s="10" t="e">
        <f t="shared" ca="1" si="13"/>
        <v>#REF!</v>
      </c>
      <c r="C140" s="13" t="e">
        <f t="shared" ca="1" si="14"/>
        <v>#REF!</v>
      </c>
      <c r="D140" s="11" t="e">
        <f t="shared" ca="1" si="14"/>
        <v>#REF!</v>
      </c>
      <c r="E140" s="10" t="e" cm="1">
        <f t="array" aca="1" ref="E140" ca="1">SUM(COUNTIFS(INDIRECT("'[" &amp; $B$1 &amp; ".xlsm]data'!$H$2:$H" &amp; (COUNTA(INDIRECT("'[" &amp; $B$1 &amp; ".xlsm]data'!$H:$H")))), $A140, INDIRECT("'[" &amp; $B$1 &amp; ".xlsm]data'!$P$2:$P" &amp; (COUNTA(INDIRECT("'[" &amp; $B$1 &amp; ".xlsm]data'!$P:$P")))), {1,2,3,3.1,3.2,4,4.1,4.2,4.3,4.4,4.5,5,6,7,8,8.4,9}))</f>
        <v>#REF!</v>
      </c>
      <c r="F140" s="10" t="e">
        <f t="shared" ca="1" si="11"/>
        <v>#REF!</v>
      </c>
      <c r="G140" s="10" t="e">
        <f t="shared" ca="1" si="15"/>
        <v>#REF!</v>
      </c>
      <c r="H140" s="15"/>
      <c r="I140" s="11" t="e">
        <f t="shared" ca="1" si="12"/>
        <v>#REF!</v>
      </c>
    </row>
    <row r="141" spans="1:9" x14ac:dyDescent="0.25">
      <c r="A141" t="s">
        <v>130</v>
      </c>
      <c r="B141" s="10" t="e">
        <f t="shared" ca="1" si="13"/>
        <v>#REF!</v>
      </c>
      <c r="C141" s="13" t="e">
        <f t="shared" ca="1" si="14"/>
        <v>#REF!</v>
      </c>
      <c r="D141" s="11" t="e">
        <f t="shared" ca="1" si="14"/>
        <v>#REF!</v>
      </c>
      <c r="E141" s="10" t="e" cm="1">
        <f t="array" aca="1" ref="E141" ca="1">SUM(COUNTIFS(INDIRECT("'[" &amp; $B$1 &amp; ".xlsm]data'!$H$2:$H" &amp; (COUNTA(INDIRECT("'[" &amp; $B$1 &amp; ".xlsm]data'!$H:$H")))), $A141, INDIRECT("'[" &amp; $B$1 &amp; ".xlsm]data'!$P$2:$P" &amp; (COUNTA(INDIRECT("'[" &amp; $B$1 &amp; ".xlsm]data'!$P:$P")))), {1,2,3,3.1,3.2,4,4.1,4.2,4.3,4.4,4.5,5,6,7,8,8.4,9}))</f>
        <v>#REF!</v>
      </c>
      <c r="F141" s="10" t="e">
        <f t="shared" ca="1" si="11"/>
        <v>#REF!</v>
      </c>
      <c r="G141" s="10" t="e">
        <f t="shared" ca="1" si="15"/>
        <v>#REF!</v>
      </c>
      <c r="H141" s="15"/>
      <c r="I141" s="11" t="e">
        <f t="shared" ca="1" si="12"/>
        <v>#REF!</v>
      </c>
    </row>
    <row r="142" spans="1:9" x14ac:dyDescent="0.25">
      <c r="A142" t="s">
        <v>283</v>
      </c>
      <c r="B142" s="10" t="e">
        <f t="shared" ca="1" si="13"/>
        <v>#REF!</v>
      </c>
      <c r="C142" s="13" t="e">
        <f t="shared" ca="1" si="14"/>
        <v>#REF!</v>
      </c>
      <c r="D142" s="11" t="e">
        <f t="shared" ca="1" si="14"/>
        <v>#REF!</v>
      </c>
      <c r="E142" s="10" t="e" cm="1">
        <f t="array" aca="1" ref="E142" ca="1">SUM(COUNTIFS(INDIRECT("'[" &amp; $B$1 &amp; ".xlsm]data'!$H$2:$H" &amp; (COUNTA(INDIRECT("'[" &amp; $B$1 &amp; ".xlsm]data'!$H:$H")))), $A142, INDIRECT("'[" &amp; $B$1 &amp; ".xlsm]data'!$P$2:$P" &amp; (COUNTA(INDIRECT("'[" &amp; $B$1 &amp; ".xlsm]data'!$P:$P")))), {1,2,3,3.1,3.2,4,4.1,4.2,4.3,4.4,4.5,5,6,7,8,8.4,9}))</f>
        <v>#REF!</v>
      </c>
      <c r="F142" s="10" t="e">
        <f t="shared" ca="1" si="11"/>
        <v>#REF!</v>
      </c>
      <c r="G142" s="10" t="e">
        <f t="shared" ca="1" si="15"/>
        <v>#REF!</v>
      </c>
      <c r="H142" s="15"/>
      <c r="I142" s="11" t="e">
        <f t="shared" ca="1" si="12"/>
        <v>#REF!</v>
      </c>
    </row>
    <row r="143" spans="1:9" x14ac:dyDescent="0.25">
      <c r="A143" t="s">
        <v>131</v>
      </c>
      <c r="B143" s="10" t="e">
        <f t="shared" ca="1" si="13"/>
        <v>#REF!</v>
      </c>
      <c r="C143" s="13" t="e">
        <f t="shared" ca="1" si="14"/>
        <v>#REF!</v>
      </c>
      <c r="D143" s="11" t="e">
        <f t="shared" ca="1" si="14"/>
        <v>#REF!</v>
      </c>
      <c r="E143" s="10" t="e" cm="1">
        <f t="array" aca="1" ref="E143" ca="1">SUM(COUNTIFS(INDIRECT("'[" &amp; $B$1 &amp; ".xlsm]data'!$H$2:$H" &amp; (COUNTA(INDIRECT("'[" &amp; $B$1 &amp; ".xlsm]data'!$H:$H")))), $A143, INDIRECT("'[" &amp; $B$1 &amp; ".xlsm]data'!$P$2:$P" &amp; (COUNTA(INDIRECT("'[" &amp; $B$1 &amp; ".xlsm]data'!$P:$P")))), {1,2,3,3.1,3.2,4,4.1,4.2,4.3,4.4,4.5,5,6,7,8,8.4,9}))</f>
        <v>#REF!</v>
      </c>
      <c r="F143" s="10" t="e">
        <f t="shared" ca="1" si="11"/>
        <v>#REF!</v>
      </c>
      <c r="G143" s="10" t="e">
        <f t="shared" ca="1" si="15"/>
        <v>#REF!</v>
      </c>
      <c r="H143" s="15"/>
      <c r="I143" s="11" t="e">
        <f t="shared" ca="1" si="12"/>
        <v>#REF!</v>
      </c>
    </row>
    <row r="144" spans="1:9" x14ac:dyDescent="0.25">
      <c r="A144" t="s">
        <v>132</v>
      </c>
      <c r="B144" s="10" t="e">
        <f t="shared" ca="1" si="13"/>
        <v>#REF!</v>
      </c>
      <c r="C144" s="13" t="e">
        <f t="shared" ca="1" si="14"/>
        <v>#REF!</v>
      </c>
      <c r="D144" s="11" t="e">
        <f t="shared" ca="1" si="14"/>
        <v>#REF!</v>
      </c>
      <c r="E144" s="10" t="e" cm="1">
        <f t="array" aca="1" ref="E144" ca="1">SUM(COUNTIFS(INDIRECT("'[" &amp; $B$1 &amp; ".xlsm]data'!$H$2:$H" &amp; (COUNTA(INDIRECT("'[" &amp; $B$1 &amp; ".xlsm]data'!$H:$H")))), $A144, INDIRECT("'[" &amp; $B$1 &amp; ".xlsm]data'!$P$2:$P" &amp; (COUNTA(INDIRECT("'[" &amp; $B$1 &amp; ".xlsm]data'!$P:$P")))), {1,2,3,3.1,3.2,4,4.1,4.2,4.3,4.4,4.5,5,6,7,8,8.4,9}))</f>
        <v>#REF!</v>
      </c>
      <c r="F144" s="10" t="e">
        <f t="shared" ca="1" si="11"/>
        <v>#REF!</v>
      </c>
      <c r="G144" s="10" t="e">
        <f t="shared" ca="1" si="15"/>
        <v>#REF!</v>
      </c>
      <c r="H144" s="15"/>
      <c r="I144" s="11" t="e">
        <f t="shared" ca="1" si="12"/>
        <v>#REF!</v>
      </c>
    </row>
    <row r="145" spans="1:9" x14ac:dyDescent="0.25">
      <c r="A145" t="s">
        <v>133</v>
      </c>
      <c r="B145" s="10" t="e">
        <f t="shared" ca="1" si="13"/>
        <v>#REF!</v>
      </c>
      <c r="C145" s="13" t="e">
        <f t="shared" ca="1" si="14"/>
        <v>#REF!</v>
      </c>
      <c r="D145" s="11" t="e">
        <f t="shared" ca="1" si="14"/>
        <v>#REF!</v>
      </c>
      <c r="E145" s="10" t="e" cm="1">
        <f t="array" aca="1" ref="E145" ca="1">SUM(COUNTIFS(INDIRECT("'[" &amp; $B$1 &amp; ".xlsm]data'!$H$2:$H" &amp; (COUNTA(INDIRECT("'[" &amp; $B$1 &amp; ".xlsm]data'!$H:$H")))), $A145, INDIRECT("'[" &amp; $B$1 &amp; ".xlsm]data'!$P$2:$P" &amp; (COUNTA(INDIRECT("'[" &amp; $B$1 &amp; ".xlsm]data'!$P:$P")))), {1,2,3,3.1,3.2,4,4.1,4.2,4.3,4.4,4.5,5,6,7,8,8.4,9}))</f>
        <v>#REF!</v>
      </c>
      <c r="F145" s="10" t="e">
        <f t="shared" ca="1" si="11"/>
        <v>#REF!</v>
      </c>
      <c r="G145" s="10" t="e">
        <f t="shared" ca="1" si="15"/>
        <v>#REF!</v>
      </c>
      <c r="H145" s="15"/>
      <c r="I145" s="11" t="e">
        <f t="shared" ca="1" si="12"/>
        <v>#REF!</v>
      </c>
    </row>
    <row r="146" spans="1:9" x14ac:dyDescent="0.25">
      <c r="A146" t="s">
        <v>134</v>
      </c>
      <c r="B146" s="10" t="e">
        <f t="shared" ca="1" si="13"/>
        <v>#REF!</v>
      </c>
      <c r="C146" s="13" t="e">
        <f t="shared" ca="1" si="14"/>
        <v>#REF!</v>
      </c>
      <c r="D146" s="11" t="e">
        <f t="shared" ca="1" si="14"/>
        <v>#REF!</v>
      </c>
      <c r="E146" s="10" t="e" cm="1">
        <f t="array" aca="1" ref="E146" ca="1">SUM(COUNTIFS(INDIRECT("'[" &amp; $B$1 &amp; ".xlsm]data'!$H$2:$H" &amp; (COUNTA(INDIRECT("'[" &amp; $B$1 &amp; ".xlsm]data'!$H:$H")))), $A146, INDIRECT("'[" &amp; $B$1 &amp; ".xlsm]data'!$P$2:$P" &amp; (COUNTA(INDIRECT("'[" &amp; $B$1 &amp; ".xlsm]data'!$P:$P")))), {1,2,3,3.1,3.2,4,4.1,4.2,4.3,4.4,4.5,5,6,7,8,8.4,9}))</f>
        <v>#REF!</v>
      </c>
      <c r="F146" s="10" t="e">
        <f t="shared" ca="1" si="11"/>
        <v>#REF!</v>
      </c>
      <c r="G146" s="10" t="e">
        <f t="shared" ca="1" si="15"/>
        <v>#REF!</v>
      </c>
      <c r="H146" s="15"/>
      <c r="I146" s="11" t="e">
        <f t="shared" ca="1" si="12"/>
        <v>#REF!</v>
      </c>
    </row>
    <row r="147" spans="1:9" x14ac:dyDescent="0.25">
      <c r="A147" t="s">
        <v>135</v>
      </c>
      <c r="B147" s="10" t="e">
        <f t="shared" ca="1" si="13"/>
        <v>#REF!</v>
      </c>
      <c r="C147" s="13" t="e">
        <f t="shared" ca="1" si="14"/>
        <v>#REF!</v>
      </c>
      <c r="D147" s="11" t="e">
        <f t="shared" ca="1" si="14"/>
        <v>#REF!</v>
      </c>
      <c r="E147" s="10" t="e" cm="1">
        <f t="array" aca="1" ref="E147" ca="1">SUM(COUNTIFS(INDIRECT("'[" &amp; $B$1 &amp; ".xlsm]data'!$H$2:$H" &amp; (COUNTA(INDIRECT("'[" &amp; $B$1 &amp; ".xlsm]data'!$H:$H")))), $A147, INDIRECT("'[" &amp; $B$1 &amp; ".xlsm]data'!$P$2:$P" &amp; (COUNTA(INDIRECT("'[" &amp; $B$1 &amp; ".xlsm]data'!$P:$P")))), {1,2,3,3.1,3.2,4,4.1,4.2,4.3,4.4,4.5,5,6,7,8,8.4,9}))</f>
        <v>#REF!</v>
      </c>
      <c r="F147" s="10" t="e">
        <f t="shared" ca="1" si="11"/>
        <v>#REF!</v>
      </c>
      <c r="G147" s="10" t="e">
        <f t="shared" ca="1" si="15"/>
        <v>#REF!</v>
      </c>
      <c r="H147" s="15"/>
      <c r="I147" s="11" t="e">
        <f t="shared" ca="1" si="12"/>
        <v>#REF!</v>
      </c>
    </row>
    <row r="148" spans="1:9" x14ac:dyDescent="0.25">
      <c r="A148" t="s">
        <v>136</v>
      </c>
      <c r="B148" s="10" t="e">
        <f t="shared" ca="1" si="13"/>
        <v>#REF!</v>
      </c>
      <c r="C148" s="13" t="e">
        <f t="shared" ca="1" si="14"/>
        <v>#REF!</v>
      </c>
      <c r="D148" s="11" t="e">
        <f t="shared" ca="1" si="14"/>
        <v>#REF!</v>
      </c>
      <c r="E148" s="10" t="e" cm="1">
        <f t="array" aca="1" ref="E148" ca="1">SUM(COUNTIFS(INDIRECT("'[" &amp; $B$1 &amp; ".xlsm]data'!$H$2:$H" &amp; (COUNTA(INDIRECT("'[" &amp; $B$1 &amp; ".xlsm]data'!$H:$H")))), $A148, INDIRECT("'[" &amp; $B$1 &amp; ".xlsm]data'!$P$2:$P" &amp; (COUNTA(INDIRECT("'[" &amp; $B$1 &amp; ".xlsm]data'!$P:$P")))), {1,2,3,3.1,3.2,4,4.1,4.2,4.3,4.4,4.5,5,6,7,8,8.4,9}))</f>
        <v>#REF!</v>
      </c>
      <c r="F148" s="10" t="e">
        <f t="shared" ca="1" si="11"/>
        <v>#REF!</v>
      </c>
      <c r="G148" s="10" t="e">
        <f t="shared" ca="1" si="15"/>
        <v>#REF!</v>
      </c>
      <c r="H148" s="15"/>
      <c r="I148" s="11" t="e">
        <f t="shared" ca="1" si="12"/>
        <v>#REF!</v>
      </c>
    </row>
    <row r="149" spans="1:9" x14ac:dyDescent="0.25">
      <c r="A149" t="s">
        <v>137</v>
      </c>
      <c r="B149" s="10" t="e">
        <f t="shared" ca="1" si="13"/>
        <v>#REF!</v>
      </c>
      <c r="C149" s="13" t="e">
        <f t="shared" ca="1" si="14"/>
        <v>#REF!</v>
      </c>
      <c r="D149" s="11" t="e">
        <f t="shared" ca="1" si="14"/>
        <v>#REF!</v>
      </c>
      <c r="E149" s="10" t="e" cm="1">
        <f t="array" aca="1" ref="E149" ca="1">SUM(COUNTIFS(INDIRECT("'[" &amp; $B$1 &amp; ".xlsm]data'!$H$2:$H" &amp; (COUNTA(INDIRECT("'[" &amp; $B$1 &amp; ".xlsm]data'!$H:$H")))), $A149, INDIRECT("'[" &amp; $B$1 &amp; ".xlsm]data'!$P$2:$P" &amp; (COUNTA(INDIRECT("'[" &amp; $B$1 &amp; ".xlsm]data'!$P:$P")))), {1,2,3,3.1,3.2,4,4.1,4.2,4.3,4.4,4.5,5,6,7,8,8.4,9}))</f>
        <v>#REF!</v>
      </c>
      <c r="F149" s="10" t="e">
        <f t="shared" ca="1" si="11"/>
        <v>#REF!</v>
      </c>
      <c r="G149" s="10" t="e">
        <f t="shared" ca="1" si="15"/>
        <v>#REF!</v>
      </c>
      <c r="H149" s="15"/>
      <c r="I149" s="11" t="e">
        <f t="shared" ca="1" si="12"/>
        <v>#REF!</v>
      </c>
    </row>
    <row r="150" spans="1:9" x14ac:dyDescent="0.25">
      <c r="A150" t="s">
        <v>138</v>
      </c>
      <c r="B150" s="10" t="e">
        <f t="shared" ca="1" si="13"/>
        <v>#REF!</v>
      </c>
      <c r="C150" s="13" t="e">
        <f t="shared" ca="1" si="14"/>
        <v>#REF!</v>
      </c>
      <c r="D150" s="11" t="e">
        <f t="shared" ca="1" si="14"/>
        <v>#REF!</v>
      </c>
      <c r="E150" s="10" t="e" cm="1">
        <f t="array" aca="1" ref="E150" ca="1">SUM(COUNTIFS(INDIRECT("'[" &amp; $B$1 &amp; ".xlsm]data'!$H$2:$H" &amp; (COUNTA(INDIRECT("'[" &amp; $B$1 &amp; ".xlsm]data'!$H:$H")))), $A150, INDIRECT("'[" &amp; $B$1 &amp; ".xlsm]data'!$P$2:$P" &amp; (COUNTA(INDIRECT("'[" &amp; $B$1 &amp; ".xlsm]data'!$P:$P")))), {1,2,3,3.1,3.2,4,4.1,4.2,4.3,4.4,4.5,5,6,7,8,8.4,9}))</f>
        <v>#REF!</v>
      </c>
      <c r="F150" s="10" t="e">
        <f t="shared" ca="1" si="11"/>
        <v>#REF!</v>
      </c>
      <c r="G150" s="10" t="e">
        <f t="shared" ca="1" si="15"/>
        <v>#REF!</v>
      </c>
      <c r="H150" s="15"/>
      <c r="I150" s="11" t="e">
        <f t="shared" ca="1" si="12"/>
        <v>#REF!</v>
      </c>
    </row>
    <row r="151" spans="1:9" x14ac:dyDescent="0.25">
      <c r="A151" t="s">
        <v>139</v>
      </c>
      <c r="B151" s="10" t="e">
        <f t="shared" ca="1" si="13"/>
        <v>#REF!</v>
      </c>
      <c r="C151" s="13" t="e">
        <f t="shared" ca="1" si="14"/>
        <v>#REF!</v>
      </c>
      <c r="D151" s="11" t="e">
        <f t="shared" ca="1" si="14"/>
        <v>#REF!</v>
      </c>
      <c r="E151" s="10" t="e" cm="1">
        <f t="array" aca="1" ref="E151" ca="1">SUM(COUNTIFS(INDIRECT("'[" &amp; $B$1 &amp; ".xlsm]data'!$H$2:$H" &amp; (COUNTA(INDIRECT("'[" &amp; $B$1 &amp; ".xlsm]data'!$H:$H")))), $A151, INDIRECT("'[" &amp; $B$1 &amp; ".xlsm]data'!$P$2:$P" &amp; (COUNTA(INDIRECT("'[" &amp; $B$1 &amp; ".xlsm]data'!$P:$P")))), {1,2,3,3.1,3.2,4,4.1,4.2,4.3,4.4,4.5,5,6,7,8,8.4,9}))</f>
        <v>#REF!</v>
      </c>
      <c r="F151" s="10" t="e">
        <f t="shared" ca="1" si="11"/>
        <v>#REF!</v>
      </c>
      <c r="G151" s="10" t="e">
        <f t="shared" ca="1" si="15"/>
        <v>#REF!</v>
      </c>
      <c r="H151" s="15"/>
      <c r="I151" s="11" t="e">
        <f t="shared" ca="1" si="12"/>
        <v>#REF!</v>
      </c>
    </row>
    <row r="152" spans="1:9" x14ac:dyDescent="0.25">
      <c r="A152" t="s">
        <v>140</v>
      </c>
      <c r="B152" s="10" t="e">
        <f t="shared" ca="1" si="13"/>
        <v>#REF!</v>
      </c>
      <c r="C152" s="13" t="e">
        <f t="shared" ca="1" si="14"/>
        <v>#REF!</v>
      </c>
      <c r="D152" s="11" t="e">
        <f t="shared" ca="1" si="14"/>
        <v>#REF!</v>
      </c>
      <c r="E152" s="10" t="e" cm="1">
        <f t="array" aca="1" ref="E152" ca="1">SUM(COUNTIFS(INDIRECT("'[" &amp; $B$1 &amp; ".xlsm]data'!$H$2:$H" &amp; (COUNTA(INDIRECT("'[" &amp; $B$1 &amp; ".xlsm]data'!$H:$H")))), $A152, INDIRECT("'[" &amp; $B$1 &amp; ".xlsm]data'!$P$2:$P" &amp; (COUNTA(INDIRECT("'[" &amp; $B$1 &amp; ".xlsm]data'!$P:$P")))), {1,2,3,3.1,3.2,4,4.1,4.2,4.3,4.4,4.5,5,6,7,8,8.4,9}))</f>
        <v>#REF!</v>
      </c>
      <c r="F152" s="10" t="e">
        <f t="shared" ca="1" si="11"/>
        <v>#REF!</v>
      </c>
      <c r="G152" s="10" t="e">
        <f t="shared" ca="1" si="15"/>
        <v>#REF!</v>
      </c>
      <c r="H152" s="15"/>
      <c r="I152" s="11" t="e">
        <f t="shared" ca="1" si="12"/>
        <v>#REF!</v>
      </c>
    </row>
    <row r="153" spans="1:9" x14ac:dyDescent="0.25">
      <c r="A153" t="s">
        <v>141</v>
      </c>
      <c r="B153" s="10" t="e">
        <f t="shared" ca="1" si="13"/>
        <v>#REF!</v>
      </c>
      <c r="C153" s="13" t="e">
        <f t="shared" ca="1" si="14"/>
        <v>#REF!</v>
      </c>
      <c r="D153" s="11" t="e">
        <f t="shared" ca="1" si="14"/>
        <v>#REF!</v>
      </c>
      <c r="E153" s="10" t="e" cm="1">
        <f t="array" aca="1" ref="E153" ca="1">SUM(COUNTIFS(INDIRECT("'[" &amp; $B$1 &amp; ".xlsm]data'!$H$2:$H" &amp; (COUNTA(INDIRECT("'[" &amp; $B$1 &amp; ".xlsm]data'!$H:$H")))), $A153, INDIRECT("'[" &amp; $B$1 &amp; ".xlsm]data'!$P$2:$P" &amp; (COUNTA(INDIRECT("'[" &amp; $B$1 &amp; ".xlsm]data'!$P:$P")))), {1,2,3,3.1,3.2,4,4.1,4.2,4.3,4.4,4.5,5,6,7,8,8.4,9}))</f>
        <v>#REF!</v>
      </c>
      <c r="F153" s="10" t="e">
        <f t="shared" ca="1" si="11"/>
        <v>#REF!</v>
      </c>
      <c r="G153" s="10" t="e">
        <f t="shared" ca="1" si="15"/>
        <v>#REF!</v>
      </c>
      <c r="H153" s="15"/>
      <c r="I153" s="11" t="e">
        <f t="shared" ca="1" si="12"/>
        <v>#REF!</v>
      </c>
    </row>
    <row r="154" spans="1:9" x14ac:dyDescent="0.25">
      <c r="A154" t="s">
        <v>142</v>
      </c>
      <c r="B154" s="10" t="e">
        <f t="shared" ca="1" si="13"/>
        <v>#REF!</v>
      </c>
      <c r="C154" s="13" t="e">
        <f t="shared" ca="1" si="14"/>
        <v>#REF!</v>
      </c>
      <c r="D154" s="11" t="e">
        <f t="shared" ca="1" si="14"/>
        <v>#REF!</v>
      </c>
      <c r="E154" s="10" t="e" cm="1">
        <f t="array" aca="1" ref="E154" ca="1">SUM(COUNTIFS(INDIRECT("'[" &amp; $B$1 &amp; ".xlsm]data'!$H$2:$H" &amp; (COUNTA(INDIRECT("'[" &amp; $B$1 &amp; ".xlsm]data'!$H:$H")))), $A154, INDIRECT("'[" &amp; $B$1 &amp; ".xlsm]data'!$P$2:$P" &amp; (COUNTA(INDIRECT("'[" &amp; $B$1 &amp; ".xlsm]data'!$P:$P")))), {1,2,3,3.1,3.2,4,4.1,4.2,4.3,4.4,4.5,5,6,7,8,8.4,9}))</f>
        <v>#REF!</v>
      </c>
      <c r="F154" s="10" t="e">
        <f t="shared" ca="1" si="11"/>
        <v>#REF!</v>
      </c>
      <c r="G154" s="10" t="e">
        <f t="shared" ca="1" si="15"/>
        <v>#REF!</v>
      </c>
      <c r="H154" s="15"/>
      <c r="I154" s="11" t="e">
        <f t="shared" ca="1" si="12"/>
        <v>#REF!</v>
      </c>
    </row>
    <row r="155" spans="1:9" x14ac:dyDescent="0.25">
      <c r="A155" t="s">
        <v>143</v>
      </c>
      <c r="B155" s="10" t="e">
        <f t="shared" ca="1" si="13"/>
        <v>#REF!</v>
      </c>
      <c r="C155" s="13" t="e">
        <f t="shared" ca="1" si="14"/>
        <v>#REF!</v>
      </c>
      <c r="D155" s="11" t="e">
        <f t="shared" ca="1" si="14"/>
        <v>#REF!</v>
      </c>
      <c r="E155" s="10" t="e" cm="1">
        <f t="array" aca="1" ref="E155" ca="1">SUM(COUNTIFS(INDIRECT("'[" &amp; $B$1 &amp; ".xlsm]data'!$H$2:$H" &amp; (COUNTA(INDIRECT("'[" &amp; $B$1 &amp; ".xlsm]data'!$H:$H")))), $A155, INDIRECT("'[" &amp; $B$1 &amp; ".xlsm]data'!$P$2:$P" &amp; (COUNTA(INDIRECT("'[" &amp; $B$1 &amp; ".xlsm]data'!$P:$P")))), {1,2,3,3.1,3.2,4,4.1,4.2,4.3,4.4,4.5,5,6,7,8,8.4,9}))</f>
        <v>#REF!</v>
      </c>
      <c r="F155" s="10" t="e">
        <f t="shared" ca="1" si="11"/>
        <v>#REF!</v>
      </c>
      <c r="G155" s="10" t="e">
        <f t="shared" ca="1" si="15"/>
        <v>#REF!</v>
      </c>
      <c r="H155" s="15"/>
      <c r="I155" s="11" t="e">
        <f t="shared" ca="1" si="12"/>
        <v>#REF!</v>
      </c>
    </row>
    <row r="156" spans="1:9" x14ac:dyDescent="0.25">
      <c r="A156" t="s">
        <v>144</v>
      </c>
      <c r="B156" s="10" t="e">
        <f t="shared" ca="1" si="13"/>
        <v>#REF!</v>
      </c>
      <c r="C156" s="13" t="e">
        <f t="shared" ca="1" si="14"/>
        <v>#REF!</v>
      </c>
      <c r="D156" s="11" t="e">
        <f t="shared" ca="1" si="14"/>
        <v>#REF!</v>
      </c>
      <c r="E156" s="10" t="e" cm="1">
        <f t="array" aca="1" ref="E156" ca="1">SUM(COUNTIFS(INDIRECT("'[" &amp; $B$1 &amp; ".xlsm]data'!$H$2:$H" &amp; (COUNTA(INDIRECT("'[" &amp; $B$1 &amp; ".xlsm]data'!$H:$H")))), $A156, INDIRECT("'[" &amp; $B$1 &amp; ".xlsm]data'!$P$2:$P" &amp; (COUNTA(INDIRECT("'[" &amp; $B$1 &amp; ".xlsm]data'!$P:$P")))), {1,2,3,3.1,3.2,4,4.1,4.2,4.3,4.4,4.5,5,6,7,8,8.4,9}))</f>
        <v>#REF!</v>
      </c>
      <c r="F156" s="10" t="e">
        <f t="shared" ca="1" si="11"/>
        <v>#REF!</v>
      </c>
      <c r="G156" s="10" t="e">
        <f t="shared" ca="1" si="15"/>
        <v>#REF!</v>
      </c>
      <c r="H156" s="15"/>
      <c r="I156" s="11" t="e">
        <f t="shared" ca="1" si="12"/>
        <v>#REF!</v>
      </c>
    </row>
    <row r="157" spans="1:9" x14ac:dyDescent="0.25">
      <c r="A157" t="s">
        <v>145</v>
      </c>
      <c r="B157" s="10" t="e">
        <f t="shared" ca="1" si="13"/>
        <v>#REF!</v>
      </c>
      <c r="C157" s="13" t="e">
        <f t="shared" ca="1" si="14"/>
        <v>#REF!</v>
      </c>
      <c r="D157" s="11" t="e">
        <f t="shared" ca="1" si="14"/>
        <v>#REF!</v>
      </c>
      <c r="E157" s="10" t="e" cm="1">
        <f t="array" aca="1" ref="E157" ca="1">SUM(COUNTIFS(INDIRECT("'[" &amp; $B$1 &amp; ".xlsm]data'!$H$2:$H" &amp; (COUNTA(INDIRECT("'[" &amp; $B$1 &amp; ".xlsm]data'!$H:$H")))), $A157, INDIRECT("'[" &amp; $B$1 &amp; ".xlsm]data'!$P$2:$P" &amp; (COUNTA(INDIRECT("'[" &amp; $B$1 &amp; ".xlsm]data'!$P:$P")))), {1,2,3,3.1,3.2,4,4.1,4.2,4.3,4.4,4.5,5,6,7,8,8.4,9}))</f>
        <v>#REF!</v>
      </c>
      <c r="F157" s="10" t="e">
        <f t="shared" ca="1" si="11"/>
        <v>#REF!</v>
      </c>
      <c r="G157" s="10" t="e">
        <f t="shared" ca="1" si="15"/>
        <v>#REF!</v>
      </c>
      <c r="H157" s="15"/>
      <c r="I157" s="11" t="e">
        <f t="shared" ca="1" si="12"/>
        <v>#REF!</v>
      </c>
    </row>
    <row r="158" spans="1:9" x14ac:dyDescent="0.25">
      <c r="A158" t="s">
        <v>146</v>
      </c>
      <c r="B158" s="10" t="e">
        <f t="shared" ca="1" si="13"/>
        <v>#REF!</v>
      </c>
      <c r="C158" s="13" t="e">
        <f t="shared" ca="1" si="14"/>
        <v>#REF!</v>
      </c>
      <c r="D158" s="11" t="e">
        <f t="shared" ca="1" si="14"/>
        <v>#REF!</v>
      </c>
      <c r="E158" s="10" t="e" cm="1">
        <f t="array" aca="1" ref="E158" ca="1">SUM(COUNTIFS(INDIRECT("'[" &amp; $B$1 &amp; ".xlsm]data'!$H$2:$H" &amp; (COUNTA(INDIRECT("'[" &amp; $B$1 &amp; ".xlsm]data'!$H:$H")))), $A158, INDIRECT("'[" &amp; $B$1 &amp; ".xlsm]data'!$P$2:$P" &amp; (COUNTA(INDIRECT("'[" &amp; $B$1 &amp; ".xlsm]data'!$P:$P")))), {1,2,3,3.1,3.2,4,4.1,4.2,4.3,4.4,4.5,5,6,7,8,8.4,9}))</f>
        <v>#REF!</v>
      </c>
      <c r="F158" s="10" t="e">
        <f t="shared" ca="1" si="11"/>
        <v>#REF!</v>
      </c>
      <c r="G158" s="10" t="e">
        <f t="shared" ca="1" si="15"/>
        <v>#REF!</v>
      </c>
      <c r="H158" s="15"/>
      <c r="I158" s="11" t="e">
        <f t="shared" ca="1" si="12"/>
        <v>#REF!</v>
      </c>
    </row>
    <row r="159" spans="1:9" x14ac:dyDescent="0.25">
      <c r="A159" t="s">
        <v>147</v>
      </c>
      <c r="B159" s="10" t="e">
        <f t="shared" ca="1" si="13"/>
        <v>#REF!</v>
      </c>
      <c r="C159" s="13" t="e">
        <f t="shared" ca="1" si="14"/>
        <v>#REF!</v>
      </c>
      <c r="D159" s="11" t="e">
        <f t="shared" ca="1" si="14"/>
        <v>#REF!</v>
      </c>
      <c r="E159" s="10" t="e" cm="1">
        <f t="array" aca="1" ref="E159" ca="1">SUM(COUNTIFS(INDIRECT("'[" &amp; $B$1 &amp; ".xlsm]data'!$H$2:$H" &amp; (COUNTA(INDIRECT("'[" &amp; $B$1 &amp; ".xlsm]data'!$H:$H")))), $A159, INDIRECT("'[" &amp; $B$1 &amp; ".xlsm]data'!$P$2:$P" &amp; (COUNTA(INDIRECT("'[" &amp; $B$1 &amp; ".xlsm]data'!$P:$P")))), {1,2,3,3.1,3.2,4,4.1,4.2,4.3,4.4,4.5,5,6,7,8,8.4,9}))</f>
        <v>#REF!</v>
      </c>
      <c r="F159" s="10" t="e">
        <f t="shared" ca="1" si="11"/>
        <v>#REF!</v>
      </c>
      <c r="G159" s="10" t="e">
        <f t="shared" ca="1" si="15"/>
        <v>#REF!</v>
      </c>
      <c r="H159" s="15"/>
      <c r="I159" s="11" t="e">
        <f t="shared" ca="1" si="12"/>
        <v>#REF!</v>
      </c>
    </row>
    <row r="160" spans="1:9" x14ac:dyDescent="0.25">
      <c r="A160" t="s">
        <v>148</v>
      </c>
      <c r="B160" s="10" t="e">
        <f t="shared" ca="1" si="13"/>
        <v>#REF!</v>
      </c>
      <c r="C160" s="13" t="e">
        <f t="shared" ca="1" si="14"/>
        <v>#REF!</v>
      </c>
      <c r="D160" s="11" t="e">
        <f t="shared" ca="1" si="14"/>
        <v>#REF!</v>
      </c>
      <c r="E160" s="10" t="e" cm="1">
        <f t="array" aca="1" ref="E160" ca="1">SUM(COUNTIFS(INDIRECT("'[" &amp; $B$1 &amp; ".xlsm]data'!$H$2:$H" &amp; (COUNTA(INDIRECT("'[" &amp; $B$1 &amp; ".xlsm]data'!$H:$H")))), $A160, INDIRECT("'[" &amp; $B$1 &amp; ".xlsm]data'!$P$2:$P" &amp; (COUNTA(INDIRECT("'[" &amp; $B$1 &amp; ".xlsm]data'!$P:$P")))), {1,2,3,3.1,3.2,4,4.1,4.2,4.3,4.4,4.5,5,6,7,8,8.4,9}))</f>
        <v>#REF!</v>
      </c>
      <c r="F160" s="10" t="e">
        <f t="shared" ca="1" si="11"/>
        <v>#REF!</v>
      </c>
      <c r="G160" s="10" t="e">
        <f t="shared" ca="1" si="15"/>
        <v>#REF!</v>
      </c>
      <c r="H160" s="15"/>
      <c r="I160" s="11" t="e">
        <f t="shared" ca="1" si="12"/>
        <v>#REF!</v>
      </c>
    </row>
    <row r="161" spans="1:9" x14ac:dyDescent="0.25">
      <c r="A161" t="s">
        <v>149</v>
      </c>
      <c r="B161" s="10" t="e">
        <f t="shared" ca="1" si="13"/>
        <v>#REF!</v>
      </c>
      <c r="C161" s="13" t="e">
        <f t="shared" ca="1" si="14"/>
        <v>#REF!</v>
      </c>
      <c r="D161" s="11" t="e">
        <f t="shared" ca="1" si="14"/>
        <v>#REF!</v>
      </c>
      <c r="E161" s="10" t="e" cm="1">
        <f t="array" aca="1" ref="E161" ca="1">SUM(COUNTIFS(INDIRECT("'[" &amp; $B$1 &amp; ".xlsm]data'!$H$2:$H" &amp; (COUNTA(INDIRECT("'[" &amp; $B$1 &amp; ".xlsm]data'!$H:$H")))), $A161, INDIRECT("'[" &amp; $B$1 &amp; ".xlsm]data'!$P$2:$P" &amp; (COUNTA(INDIRECT("'[" &amp; $B$1 &amp; ".xlsm]data'!$P:$P")))), {1,2,3,3.1,3.2,4,4.1,4.2,4.3,4.4,4.5,5,6,7,8,8.4,9}))</f>
        <v>#REF!</v>
      </c>
      <c r="F161" s="10" t="e">
        <f t="shared" ca="1" si="11"/>
        <v>#REF!</v>
      </c>
      <c r="G161" s="10" t="e">
        <f t="shared" ca="1" si="15"/>
        <v>#REF!</v>
      </c>
      <c r="H161" s="15"/>
      <c r="I161" s="11" t="e">
        <f t="shared" ca="1" si="12"/>
        <v>#REF!</v>
      </c>
    </row>
    <row r="162" spans="1:9" x14ac:dyDescent="0.25">
      <c r="A162" t="s">
        <v>150</v>
      </c>
      <c r="B162" s="10" t="e">
        <f t="shared" ca="1" si="13"/>
        <v>#REF!</v>
      </c>
      <c r="C162" s="13" t="e">
        <f t="shared" ca="1" si="14"/>
        <v>#REF!</v>
      </c>
      <c r="D162" s="11" t="e">
        <f t="shared" ca="1" si="14"/>
        <v>#REF!</v>
      </c>
      <c r="E162" s="10" t="e" cm="1">
        <f t="array" aca="1" ref="E162" ca="1">SUM(COUNTIFS(INDIRECT("'[" &amp; $B$1 &amp; ".xlsm]data'!$H$2:$H" &amp; (COUNTA(INDIRECT("'[" &amp; $B$1 &amp; ".xlsm]data'!$H:$H")))), $A162, INDIRECT("'[" &amp; $B$1 &amp; ".xlsm]data'!$P$2:$P" &amp; (COUNTA(INDIRECT("'[" &amp; $B$1 &amp; ".xlsm]data'!$P:$P")))), {1,2,3,3.1,3.2,4,4.1,4.2,4.3,4.4,4.5,5,6,7,8,8.4,9}))</f>
        <v>#REF!</v>
      </c>
      <c r="F162" s="10" t="e">
        <f t="shared" ca="1" si="11"/>
        <v>#REF!</v>
      </c>
      <c r="G162" s="10" t="e">
        <f t="shared" ca="1" si="15"/>
        <v>#REF!</v>
      </c>
      <c r="H162" s="15"/>
      <c r="I162" s="11" t="e">
        <f t="shared" ca="1" si="12"/>
        <v>#REF!</v>
      </c>
    </row>
    <row r="163" spans="1:9" x14ac:dyDescent="0.25">
      <c r="A163" t="s">
        <v>235</v>
      </c>
      <c r="B163" s="10" t="e">
        <f t="shared" ca="1" si="13"/>
        <v>#REF!</v>
      </c>
      <c r="C163" s="13" t="e">
        <f t="shared" ca="1" si="14"/>
        <v>#REF!</v>
      </c>
      <c r="D163" s="11" t="e">
        <f t="shared" ca="1" si="14"/>
        <v>#REF!</v>
      </c>
      <c r="E163" s="10" t="e" cm="1">
        <f t="array" aca="1" ref="E163" ca="1">SUM(COUNTIFS(INDIRECT("'[" &amp; $B$1 &amp; ".xlsm]data'!$H$2:$H" &amp; (COUNTA(INDIRECT("'[" &amp; $B$1 &amp; ".xlsm]data'!$H:$H")))), $A163, INDIRECT("'[" &amp; $B$1 &amp; ".xlsm]data'!$P$2:$P" &amp; (COUNTA(INDIRECT("'[" &amp; $B$1 &amp; ".xlsm]data'!$P:$P")))), {1,2,3,3.1,3.2,4,4.1,4.2,4.3,4.4,4.5,5,6,7,8,8.4,9}))</f>
        <v>#REF!</v>
      </c>
      <c r="F163" s="10" t="e">
        <f t="shared" ca="1" si="11"/>
        <v>#REF!</v>
      </c>
      <c r="G163" s="10" t="e">
        <f t="shared" ca="1" si="15"/>
        <v>#REF!</v>
      </c>
      <c r="H163" s="15"/>
      <c r="I163" s="11" t="e">
        <f t="shared" ca="1" si="12"/>
        <v>#REF!</v>
      </c>
    </row>
    <row r="164" spans="1:9" x14ac:dyDescent="0.25">
      <c r="A164" t="s">
        <v>151</v>
      </c>
      <c r="B164" s="10" t="e">
        <f t="shared" ca="1" si="13"/>
        <v>#REF!</v>
      </c>
      <c r="C164" s="13" t="e">
        <f t="shared" ca="1" si="14"/>
        <v>#REF!</v>
      </c>
      <c r="D164" s="11" t="e">
        <f t="shared" ca="1" si="14"/>
        <v>#REF!</v>
      </c>
      <c r="E164" s="10" t="e" cm="1">
        <f t="array" aca="1" ref="E164" ca="1">SUM(COUNTIFS(INDIRECT("'[" &amp; $B$1 &amp; ".xlsm]data'!$H$2:$H" &amp; (COUNTA(INDIRECT("'[" &amp; $B$1 &amp; ".xlsm]data'!$H:$H")))), $A164, INDIRECT("'[" &amp; $B$1 &amp; ".xlsm]data'!$P$2:$P" &amp; (COUNTA(INDIRECT("'[" &amp; $B$1 &amp; ".xlsm]data'!$P:$P")))), {1,2,3,3.1,3.2,4,4.1,4.2,4.3,4.4,4.5,5,6,7,8,8.4,9}))</f>
        <v>#REF!</v>
      </c>
      <c r="F164" s="10" t="e">
        <f t="shared" ca="1" si="11"/>
        <v>#REF!</v>
      </c>
      <c r="G164" s="10" t="e">
        <f t="shared" ca="1" si="15"/>
        <v>#REF!</v>
      </c>
      <c r="H164" s="15"/>
      <c r="I164" s="11" t="e">
        <f t="shared" ca="1" si="12"/>
        <v>#REF!</v>
      </c>
    </row>
    <row r="165" spans="1:9" x14ac:dyDescent="0.25">
      <c r="A165" t="s">
        <v>348</v>
      </c>
      <c r="B165" s="10" t="e">
        <f t="shared" ca="1" si="13"/>
        <v>#REF!</v>
      </c>
      <c r="C165" s="13" t="e">
        <f t="shared" ca="1" si="14"/>
        <v>#REF!</v>
      </c>
      <c r="D165" s="11" t="e">
        <f t="shared" ca="1" si="14"/>
        <v>#REF!</v>
      </c>
      <c r="E165" s="10" t="e" cm="1">
        <f t="array" aca="1" ref="E165" ca="1">SUM(COUNTIFS(INDIRECT("'[" &amp; $B$1 &amp; ".xlsm]data'!$H$2:$H" &amp; (COUNTA(INDIRECT("'[" &amp; $B$1 &amp; ".xlsm]data'!$H:$H")))), $A165, INDIRECT("'[" &amp; $B$1 &amp; ".xlsm]data'!$P$2:$P" &amp; (COUNTA(INDIRECT("'[" &amp; $B$1 &amp; ".xlsm]data'!$P:$P")))), {1,2,3,3.1,3.2,4,4.1,4.2,4.3,4.4,4.5,5,6,7,8,8.4,9}))</f>
        <v>#REF!</v>
      </c>
      <c r="F165" s="10" t="e">
        <f t="shared" ca="1" si="11"/>
        <v>#REF!</v>
      </c>
      <c r="G165" s="10" t="e">
        <f t="shared" ca="1" si="15"/>
        <v>#REF!</v>
      </c>
      <c r="H165" s="15"/>
      <c r="I165" s="11" t="e">
        <f t="shared" ca="1" si="12"/>
        <v>#REF!</v>
      </c>
    </row>
    <row r="166" spans="1:9" x14ac:dyDescent="0.25">
      <c r="A166" t="s">
        <v>152</v>
      </c>
      <c r="B166" s="10" t="e">
        <f t="shared" ca="1" si="13"/>
        <v>#REF!</v>
      </c>
      <c r="C166" s="13" t="e">
        <f t="shared" ca="1" si="14"/>
        <v>#REF!</v>
      </c>
      <c r="D166" s="11" t="e">
        <f t="shared" ca="1" si="14"/>
        <v>#REF!</v>
      </c>
      <c r="E166" s="10" t="e" cm="1">
        <f t="array" aca="1" ref="E166" ca="1">SUM(COUNTIFS(INDIRECT("'[" &amp; $B$1 &amp; ".xlsm]data'!$H$2:$H" &amp; (COUNTA(INDIRECT("'[" &amp; $B$1 &amp; ".xlsm]data'!$H:$H")))), $A166, INDIRECT("'[" &amp; $B$1 &amp; ".xlsm]data'!$P$2:$P" &amp; (COUNTA(INDIRECT("'[" &amp; $B$1 &amp; ".xlsm]data'!$P:$P")))), {1,2,3,3.1,3.2,4,4.1,4.2,4.3,4.4,4.5,5,6,7,8,8.4,9}))</f>
        <v>#REF!</v>
      </c>
      <c r="F166" s="10" t="e">
        <f t="shared" ca="1" si="11"/>
        <v>#REF!</v>
      </c>
      <c r="G166" s="10" t="e">
        <f t="shared" ca="1" si="15"/>
        <v>#REF!</v>
      </c>
      <c r="H166" s="15"/>
      <c r="I166" s="11" t="e">
        <f t="shared" ca="1" si="12"/>
        <v>#REF!</v>
      </c>
    </row>
    <row r="167" spans="1:9" x14ac:dyDescent="0.25">
      <c r="A167" t="s">
        <v>153</v>
      </c>
      <c r="B167" s="10" t="e">
        <f t="shared" ca="1" si="13"/>
        <v>#REF!</v>
      </c>
      <c r="C167" s="13" t="e">
        <f t="shared" ca="1" si="14"/>
        <v>#REF!</v>
      </c>
      <c r="D167" s="11" t="e">
        <f t="shared" ca="1" si="14"/>
        <v>#REF!</v>
      </c>
      <c r="E167" s="10" t="e" cm="1">
        <f t="array" aca="1" ref="E167" ca="1">SUM(COUNTIFS(INDIRECT("'[" &amp; $B$1 &amp; ".xlsm]data'!$H$2:$H" &amp; (COUNTA(INDIRECT("'[" &amp; $B$1 &amp; ".xlsm]data'!$H:$H")))), $A167, INDIRECT("'[" &amp; $B$1 &amp; ".xlsm]data'!$P$2:$P" &amp; (COUNTA(INDIRECT("'[" &amp; $B$1 &amp; ".xlsm]data'!$P:$P")))), {1,2,3,3.1,3.2,4,4.1,4.2,4.3,4.4,4.5,5,6,7,8,8.4,9}))</f>
        <v>#REF!</v>
      </c>
      <c r="F167" s="10" t="e">
        <f t="shared" ca="1" si="11"/>
        <v>#REF!</v>
      </c>
      <c r="G167" s="10" t="e">
        <f t="shared" ca="1" si="15"/>
        <v>#REF!</v>
      </c>
      <c r="H167" s="15"/>
      <c r="I167" s="11" t="e">
        <f t="shared" ca="1" si="12"/>
        <v>#REF!</v>
      </c>
    </row>
    <row r="168" spans="1:9" x14ac:dyDescent="0.25">
      <c r="A168" t="s">
        <v>154</v>
      </c>
      <c r="B168" s="10" t="e">
        <f t="shared" ca="1" si="13"/>
        <v>#REF!</v>
      </c>
      <c r="C168" s="13" t="e">
        <f t="shared" ca="1" si="14"/>
        <v>#REF!</v>
      </c>
      <c r="D168" s="11" t="e">
        <f t="shared" ca="1" si="14"/>
        <v>#REF!</v>
      </c>
      <c r="E168" s="10" t="e" cm="1">
        <f t="array" aca="1" ref="E168" ca="1">SUM(COUNTIFS(INDIRECT("'[" &amp; $B$1 &amp; ".xlsm]data'!$H$2:$H" &amp; (COUNTA(INDIRECT("'[" &amp; $B$1 &amp; ".xlsm]data'!$H:$H")))), $A168, INDIRECT("'[" &amp; $B$1 &amp; ".xlsm]data'!$P$2:$P" &amp; (COUNTA(INDIRECT("'[" &amp; $B$1 &amp; ".xlsm]data'!$P:$P")))), {1,2,3,3.1,3.2,4,4.1,4.2,4.3,4.4,4.5,5,6,7,8,8.4,9}))</f>
        <v>#REF!</v>
      </c>
      <c r="F168" s="10" t="e">
        <f t="shared" ca="1" si="11"/>
        <v>#REF!</v>
      </c>
      <c r="G168" s="10" t="e">
        <f t="shared" ca="1" si="15"/>
        <v>#REF!</v>
      </c>
      <c r="H168" s="15"/>
      <c r="I168" s="11" t="e">
        <f t="shared" ca="1" si="12"/>
        <v>#REF!</v>
      </c>
    </row>
    <row r="169" spans="1:9" x14ac:dyDescent="0.25">
      <c r="A169" t="s">
        <v>155</v>
      </c>
      <c r="B169" s="10" t="e">
        <f t="shared" ca="1" si="13"/>
        <v>#REF!</v>
      </c>
      <c r="C169" s="13" t="e">
        <f t="shared" ca="1" si="14"/>
        <v>#REF!</v>
      </c>
      <c r="D169" s="11" t="e">
        <f t="shared" ca="1" si="14"/>
        <v>#REF!</v>
      </c>
      <c r="E169" s="10" t="e" cm="1">
        <f t="array" aca="1" ref="E169" ca="1">SUM(COUNTIFS(INDIRECT("'[" &amp; $B$1 &amp; ".xlsm]data'!$H$2:$H" &amp; (COUNTA(INDIRECT("'[" &amp; $B$1 &amp; ".xlsm]data'!$H:$H")))), $A169, INDIRECT("'[" &amp; $B$1 &amp; ".xlsm]data'!$P$2:$P" &amp; (COUNTA(INDIRECT("'[" &amp; $B$1 &amp; ".xlsm]data'!$P:$P")))), {1,2,3,3.1,3.2,4,4.1,4.2,4.3,4.4,4.5,5,6,7,8,8.4,9}))</f>
        <v>#REF!</v>
      </c>
      <c r="F169" s="10" t="e">
        <f t="shared" ca="1" si="11"/>
        <v>#REF!</v>
      </c>
      <c r="G169" s="10" t="e">
        <f t="shared" ca="1" si="15"/>
        <v>#REF!</v>
      </c>
      <c r="H169" s="15"/>
      <c r="I169" s="11" t="e">
        <f t="shared" ca="1" si="12"/>
        <v>#REF!</v>
      </c>
    </row>
    <row r="170" spans="1:9" x14ac:dyDescent="0.25">
      <c r="A170" t="s">
        <v>156</v>
      </c>
      <c r="B170" s="10" t="e">
        <f t="shared" ca="1" si="13"/>
        <v>#REF!</v>
      </c>
      <c r="C170" s="13" t="e">
        <f t="shared" ca="1" si="14"/>
        <v>#REF!</v>
      </c>
      <c r="D170" s="11" t="e">
        <f t="shared" ca="1" si="14"/>
        <v>#REF!</v>
      </c>
      <c r="E170" s="10" t="e" cm="1">
        <f t="array" aca="1" ref="E170" ca="1">SUM(COUNTIFS(INDIRECT("'[" &amp; $B$1 &amp; ".xlsm]data'!$H$2:$H" &amp; (COUNTA(INDIRECT("'[" &amp; $B$1 &amp; ".xlsm]data'!$H:$H")))), $A170, INDIRECT("'[" &amp; $B$1 &amp; ".xlsm]data'!$P$2:$P" &amp; (COUNTA(INDIRECT("'[" &amp; $B$1 &amp; ".xlsm]data'!$P:$P")))), {1,2,3,3.1,3.2,4,4.1,4.2,4.3,4.4,4.5,5,6,7,8,8.4,9}))</f>
        <v>#REF!</v>
      </c>
      <c r="F170" s="10" t="e">
        <f t="shared" ca="1" si="11"/>
        <v>#REF!</v>
      </c>
      <c r="G170" s="10" t="e">
        <f t="shared" ca="1" si="15"/>
        <v>#REF!</v>
      </c>
      <c r="H170" s="15"/>
      <c r="I170" s="11" t="e">
        <f t="shared" ca="1" si="12"/>
        <v>#REF!</v>
      </c>
    </row>
    <row r="171" spans="1:9" x14ac:dyDescent="0.25">
      <c r="A171" t="s">
        <v>157</v>
      </c>
      <c r="B171" s="10" t="e">
        <f t="shared" ca="1" si="13"/>
        <v>#REF!</v>
      </c>
      <c r="C171" s="13" t="e">
        <f t="shared" ref="C171:D202" ca="1" si="16">COUNTIFS(INDIRECT("'[" &amp; $B$1 &amp; ".xlsm]data'!$I:$I"), $A171,(INDIRECT("'[" &amp; $B$1 &amp; ".xlsm]data'!$A:$A")), C$8)</f>
        <v>#REF!</v>
      </c>
      <c r="D171" s="11" t="e">
        <f t="shared" ca="1" si="16"/>
        <v>#REF!</v>
      </c>
      <c r="E171" s="10" t="e" cm="1">
        <f t="array" aca="1" ref="E171" ca="1">SUM(COUNTIFS(INDIRECT("'[" &amp; $B$1 &amp; ".xlsm]data'!$H$2:$H" &amp; (COUNTA(INDIRECT("'[" &amp; $B$1 &amp; ".xlsm]data'!$H:$H")))), $A171, INDIRECT("'[" &amp; $B$1 &amp; ".xlsm]data'!$P$2:$P" &amp; (COUNTA(INDIRECT("'[" &amp; $B$1 &amp; ".xlsm]data'!$P:$P")))), {1,2,3,3.1,3.2,4,4.1,4.2,4.3,4.4,4.5,5,6,7,8,8.4,9}))</f>
        <v>#REF!</v>
      </c>
      <c r="F171" s="10" t="e">
        <f t="shared" ca="1" si="11"/>
        <v>#REF!</v>
      </c>
      <c r="G171" s="10" t="e">
        <f t="shared" ca="1" si="15"/>
        <v>#REF!</v>
      </c>
      <c r="H171" s="15"/>
      <c r="I171" s="11" t="e">
        <f t="shared" ca="1" si="12"/>
        <v>#REF!</v>
      </c>
    </row>
    <row r="172" spans="1:9" x14ac:dyDescent="0.25">
      <c r="A172" t="s">
        <v>158</v>
      </c>
      <c r="B172" s="10" t="e">
        <f t="shared" ca="1" si="13"/>
        <v>#REF!</v>
      </c>
      <c r="C172" s="13" t="e">
        <f t="shared" ca="1" si="16"/>
        <v>#REF!</v>
      </c>
      <c r="D172" s="11" t="e">
        <f t="shared" ca="1" si="16"/>
        <v>#REF!</v>
      </c>
      <c r="E172" s="10" t="e" cm="1">
        <f t="array" aca="1" ref="E172" ca="1">SUM(COUNTIFS(INDIRECT("'[" &amp; $B$1 &amp; ".xlsm]data'!$H$2:$H" &amp; (COUNTA(INDIRECT("'[" &amp; $B$1 &amp; ".xlsm]data'!$H:$H")))), $A172, INDIRECT("'[" &amp; $B$1 &amp; ".xlsm]data'!$P$2:$P" &amp; (COUNTA(INDIRECT("'[" &amp; $B$1 &amp; ".xlsm]data'!$P:$P")))), {1,2,3,3.1,3.2,4,4.1,4.2,4.3,4.4,4.5,5,6,7,8,8.4,9}))</f>
        <v>#REF!</v>
      </c>
      <c r="F172" s="10" t="e">
        <f t="shared" ca="1" si="11"/>
        <v>#REF!</v>
      </c>
      <c r="G172" s="10" t="e">
        <f t="shared" ca="1" si="15"/>
        <v>#REF!</v>
      </c>
      <c r="H172" s="15"/>
      <c r="I172" s="11" t="e">
        <f t="shared" ca="1" si="12"/>
        <v>#REF!</v>
      </c>
    </row>
    <row r="173" spans="1:9" x14ac:dyDescent="0.25">
      <c r="A173" t="s">
        <v>159</v>
      </c>
      <c r="B173" s="10" t="e">
        <f t="shared" ca="1" si="13"/>
        <v>#REF!</v>
      </c>
      <c r="C173" s="13" t="e">
        <f t="shared" ca="1" si="16"/>
        <v>#REF!</v>
      </c>
      <c r="D173" s="11" t="e">
        <f t="shared" ca="1" si="16"/>
        <v>#REF!</v>
      </c>
      <c r="E173" s="10" t="e" cm="1">
        <f t="array" aca="1" ref="E173" ca="1">SUM(COUNTIFS(INDIRECT("'[" &amp; $B$1 &amp; ".xlsm]data'!$H$2:$H" &amp; (COUNTA(INDIRECT("'[" &amp; $B$1 &amp; ".xlsm]data'!$H:$H")))), $A173, INDIRECT("'[" &amp; $B$1 &amp; ".xlsm]data'!$P$2:$P" &amp; (COUNTA(INDIRECT("'[" &amp; $B$1 &amp; ".xlsm]data'!$P:$P")))), {1,2,3,3.1,3.2,4,4.1,4.2,4.3,4.4,4.5,5,6,7,8,8.4,9}))</f>
        <v>#REF!</v>
      </c>
      <c r="F173" s="10" t="e">
        <f t="shared" ca="1" si="11"/>
        <v>#REF!</v>
      </c>
      <c r="G173" s="10" t="e">
        <f t="shared" ca="1" si="15"/>
        <v>#REF!</v>
      </c>
      <c r="H173" s="15"/>
      <c r="I173" s="11" t="e">
        <f t="shared" ca="1" si="12"/>
        <v>#REF!</v>
      </c>
    </row>
    <row r="174" spans="1:9" x14ac:dyDescent="0.25">
      <c r="A174" t="s">
        <v>160</v>
      </c>
      <c r="B174" s="10" t="e">
        <f t="shared" ca="1" si="13"/>
        <v>#REF!</v>
      </c>
      <c r="C174" s="13" t="e">
        <f t="shared" ca="1" si="16"/>
        <v>#REF!</v>
      </c>
      <c r="D174" s="11" t="e">
        <f t="shared" ca="1" si="16"/>
        <v>#REF!</v>
      </c>
      <c r="E174" s="10" t="e" cm="1">
        <f t="array" aca="1" ref="E174" ca="1">SUM(COUNTIFS(INDIRECT("'[" &amp; $B$1 &amp; ".xlsm]data'!$H$2:$H" &amp; (COUNTA(INDIRECT("'[" &amp; $B$1 &amp; ".xlsm]data'!$H:$H")))), $A174, INDIRECT("'[" &amp; $B$1 &amp; ".xlsm]data'!$P$2:$P" &amp; (COUNTA(INDIRECT("'[" &amp; $B$1 &amp; ".xlsm]data'!$P:$P")))), {1,2,3,3.1,3.2,4,4.1,4.2,4.3,4.4,4.5,5,6,7,8,8.4,9}))</f>
        <v>#REF!</v>
      </c>
      <c r="F174" s="10" t="e">
        <f t="shared" ca="1" si="11"/>
        <v>#REF!</v>
      </c>
      <c r="G174" s="10" t="e">
        <f t="shared" ca="1" si="15"/>
        <v>#REF!</v>
      </c>
      <c r="H174" s="15"/>
      <c r="I174" s="11" t="e">
        <f t="shared" ca="1" si="12"/>
        <v>#REF!</v>
      </c>
    </row>
    <row r="175" spans="1:9" x14ac:dyDescent="0.25">
      <c r="A175" t="s">
        <v>161</v>
      </c>
      <c r="B175" s="10" t="e">
        <f t="shared" ca="1" si="13"/>
        <v>#REF!</v>
      </c>
      <c r="C175" s="13" t="e">
        <f t="shared" ca="1" si="16"/>
        <v>#REF!</v>
      </c>
      <c r="D175" s="11" t="e">
        <f t="shared" ca="1" si="16"/>
        <v>#REF!</v>
      </c>
      <c r="E175" s="10" t="e" cm="1">
        <f t="array" aca="1" ref="E175" ca="1">SUM(COUNTIFS(INDIRECT("'[" &amp; $B$1 &amp; ".xlsm]data'!$H$2:$H" &amp; (COUNTA(INDIRECT("'[" &amp; $B$1 &amp; ".xlsm]data'!$H:$H")))), $A175, INDIRECT("'[" &amp; $B$1 &amp; ".xlsm]data'!$P$2:$P" &amp; (COUNTA(INDIRECT("'[" &amp; $B$1 &amp; ".xlsm]data'!$P:$P")))), {1,2,3,3.1,3.2,4,4.1,4.2,4.3,4.4,4.5,5,6,7,8,8.4,9}))</f>
        <v>#REF!</v>
      </c>
      <c r="F175" s="10" t="e">
        <f t="shared" ca="1" si="11"/>
        <v>#REF!</v>
      </c>
      <c r="G175" s="10" t="e">
        <f t="shared" ca="1" si="15"/>
        <v>#REF!</v>
      </c>
      <c r="H175" s="15"/>
      <c r="I175" s="11" t="e">
        <f t="shared" ca="1" si="12"/>
        <v>#REF!</v>
      </c>
    </row>
    <row r="176" spans="1:9" x14ac:dyDescent="0.25">
      <c r="A176" t="s">
        <v>162</v>
      </c>
      <c r="B176" s="10" t="e">
        <f t="shared" ca="1" si="13"/>
        <v>#REF!</v>
      </c>
      <c r="C176" s="13" t="e">
        <f t="shared" ca="1" si="16"/>
        <v>#REF!</v>
      </c>
      <c r="D176" s="11" t="e">
        <f t="shared" ca="1" si="16"/>
        <v>#REF!</v>
      </c>
      <c r="E176" s="10" t="e" cm="1">
        <f t="array" aca="1" ref="E176" ca="1">SUM(COUNTIFS(INDIRECT("'[" &amp; $B$1 &amp; ".xlsm]data'!$H$2:$H" &amp; (COUNTA(INDIRECT("'[" &amp; $B$1 &amp; ".xlsm]data'!$H:$H")))), $A176, INDIRECT("'[" &amp; $B$1 &amp; ".xlsm]data'!$P$2:$P" &amp; (COUNTA(INDIRECT("'[" &amp; $B$1 &amp; ".xlsm]data'!$P:$P")))), {1,2,3,3.1,3.2,4,4.1,4.2,4.3,4.4,4.5,5,6,7,8,8.4,9}))</f>
        <v>#REF!</v>
      </c>
      <c r="F176" s="10" t="e">
        <f t="shared" ca="1" si="11"/>
        <v>#REF!</v>
      </c>
      <c r="G176" s="10" t="e">
        <f t="shared" ca="1" si="15"/>
        <v>#REF!</v>
      </c>
      <c r="H176" s="15"/>
      <c r="I176" s="11" t="e">
        <f t="shared" ca="1" si="12"/>
        <v>#REF!</v>
      </c>
    </row>
    <row r="177" spans="1:9" x14ac:dyDescent="0.25">
      <c r="A177" t="s">
        <v>163</v>
      </c>
      <c r="B177" s="10" t="e">
        <f t="shared" ca="1" si="13"/>
        <v>#REF!</v>
      </c>
      <c r="C177" s="13" t="e">
        <f t="shared" ca="1" si="16"/>
        <v>#REF!</v>
      </c>
      <c r="D177" s="11" t="e">
        <f t="shared" ca="1" si="16"/>
        <v>#REF!</v>
      </c>
      <c r="E177" s="10" t="e" cm="1">
        <f t="array" aca="1" ref="E177" ca="1">SUM(COUNTIFS(INDIRECT("'[" &amp; $B$1 &amp; ".xlsm]data'!$H$2:$H" &amp; (COUNTA(INDIRECT("'[" &amp; $B$1 &amp; ".xlsm]data'!$H:$H")))), $A177, INDIRECT("'[" &amp; $B$1 &amp; ".xlsm]data'!$P$2:$P" &amp; (COUNTA(INDIRECT("'[" &amp; $B$1 &amp; ".xlsm]data'!$P:$P")))), {1,2,3,3.1,3.2,4,4.1,4.2,4.3,4.4,4.5,5,6,7,8,8.4,9}))</f>
        <v>#REF!</v>
      </c>
      <c r="F177" s="10" t="e">
        <f t="shared" ca="1" si="11"/>
        <v>#REF!</v>
      </c>
      <c r="G177" s="10" t="e">
        <f t="shared" ca="1" si="15"/>
        <v>#REF!</v>
      </c>
      <c r="H177" s="15"/>
      <c r="I177" s="11" t="e">
        <f t="shared" ca="1" si="12"/>
        <v>#REF!</v>
      </c>
    </row>
    <row r="178" spans="1:9" x14ac:dyDescent="0.25">
      <c r="A178" t="s">
        <v>164</v>
      </c>
      <c r="B178" s="10" t="e">
        <f t="shared" ca="1" si="13"/>
        <v>#REF!</v>
      </c>
      <c r="C178" s="13" t="e">
        <f t="shared" ca="1" si="16"/>
        <v>#REF!</v>
      </c>
      <c r="D178" s="11" t="e">
        <f t="shared" ca="1" si="16"/>
        <v>#REF!</v>
      </c>
      <c r="E178" s="10" t="e" cm="1">
        <f t="array" aca="1" ref="E178" ca="1">SUM(COUNTIFS(INDIRECT("'[" &amp; $B$1 &amp; ".xlsm]data'!$H$2:$H" &amp; (COUNTA(INDIRECT("'[" &amp; $B$1 &amp; ".xlsm]data'!$H:$H")))), $A178, INDIRECT("'[" &amp; $B$1 &amp; ".xlsm]data'!$P$2:$P" &amp; (COUNTA(INDIRECT("'[" &amp; $B$1 &amp; ".xlsm]data'!$P:$P")))), {1,2,3,3.1,3.2,4,4.1,4.2,4.3,4.4,4.5,5,6,7,8,8.4,9}))</f>
        <v>#REF!</v>
      </c>
      <c r="F178" s="10" t="e">
        <f t="shared" ca="1" si="11"/>
        <v>#REF!</v>
      </c>
      <c r="G178" s="10" t="e">
        <f t="shared" ca="1" si="15"/>
        <v>#REF!</v>
      </c>
      <c r="H178" s="15"/>
      <c r="I178" s="11" t="e">
        <f t="shared" ca="1" si="12"/>
        <v>#REF!</v>
      </c>
    </row>
    <row r="179" spans="1:9" x14ac:dyDescent="0.25">
      <c r="A179" t="s">
        <v>165</v>
      </c>
      <c r="B179" s="10" t="e">
        <f t="shared" ca="1" si="13"/>
        <v>#REF!</v>
      </c>
      <c r="C179" s="13" t="e">
        <f t="shared" ca="1" si="16"/>
        <v>#REF!</v>
      </c>
      <c r="D179" s="11" t="e">
        <f t="shared" ca="1" si="16"/>
        <v>#REF!</v>
      </c>
      <c r="E179" s="10" t="e" cm="1">
        <f t="array" aca="1" ref="E179" ca="1">SUM(COUNTIFS(INDIRECT("'[" &amp; $B$1 &amp; ".xlsm]data'!$H$2:$H" &amp; (COUNTA(INDIRECT("'[" &amp; $B$1 &amp; ".xlsm]data'!$H:$H")))), $A179, INDIRECT("'[" &amp; $B$1 &amp; ".xlsm]data'!$P$2:$P" &amp; (COUNTA(INDIRECT("'[" &amp; $B$1 &amp; ".xlsm]data'!$P:$P")))), {1,2,3,3.1,3.2,4,4.1,4.2,4.3,4.4,4.5,5,6,7,8,8.4,9}))</f>
        <v>#REF!</v>
      </c>
      <c r="F179" s="10" t="e">
        <f t="shared" ca="1" si="11"/>
        <v>#REF!</v>
      </c>
      <c r="G179" s="10" t="e">
        <f t="shared" ca="1" si="15"/>
        <v>#REF!</v>
      </c>
      <c r="H179" s="15"/>
      <c r="I179" s="11" t="e">
        <f t="shared" ca="1" si="12"/>
        <v>#REF!</v>
      </c>
    </row>
    <row r="180" spans="1:9" x14ac:dyDescent="0.25">
      <c r="A180" t="s">
        <v>166</v>
      </c>
      <c r="B180" s="10" t="e">
        <f t="shared" ca="1" si="13"/>
        <v>#REF!</v>
      </c>
      <c r="C180" s="13" t="e">
        <f t="shared" ca="1" si="16"/>
        <v>#REF!</v>
      </c>
      <c r="D180" s="11" t="e">
        <f t="shared" ca="1" si="16"/>
        <v>#REF!</v>
      </c>
      <c r="E180" s="10" t="e" cm="1">
        <f t="array" aca="1" ref="E180" ca="1">SUM(COUNTIFS(INDIRECT("'[" &amp; $B$1 &amp; ".xlsm]data'!$H$2:$H" &amp; (COUNTA(INDIRECT("'[" &amp; $B$1 &amp; ".xlsm]data'!$H:$H")))), $A180, INDIRECT("'[" &amp; $B$1 &amp; ".xlsm]data'!$P$2:$P" &amp; (COUNTA(INDIRECT("'[" &amp; $B$1 &amp; ".xlsm]data'!$P:$P")))), {1,2,3,3.1,3.2,4,4.1,4.2,4.3,4.4,4.5,5,6,7,8,8.4,9}))</f>
        <v>#REF!</v>
      </c>
      <c r="F180" s="10" t="e">
        <f t="shared" ca="1" si="11"/>
        <v>#REF!</v>
      </c>
      <c r="G180" s="10" t="e">
        <f t="shared" ca="1" si="15"/>
        <v>#REF!</v>
      </c>
      <c r="H180" s="15"/>
      <c r="I180" s="11" t="e">
        <f t="shared" ca="1" si="12"/>
        <v>#REF!</v>
      </c>
    </row>
    <row r="181" spans="1:9" x14ac:dyDescent="0.25">
      <c r="A181" t="s">
        <v>167</v>
      </c>
      <c r="B181" s="10" t="e">
        <f t="shared" ca="1" si="13"/>
        <v>#REF!</v>
      </c>
      <c r="C181" s="13" t="e">
        <f t="shared" ca="1" si="16"/>
        <v>#REF!</v>
      </c>
      <c r="D181" s="11" t="e">
        <f t="shared" ca="1" si="16"/>
        <v>#REF!</v>
      </c>
      <c r="E181" s="10" t="e" cm="1">
        <f t="array" aca="1" ref="E181" ca="1">SUM(COUNTIFS(INDIRECT("'[" &amp; $B$1 &amp; ".xlsm]data'!$H$2:$H" &amp; (COUNTA(INDIRECT("'[" &amp; $B$1 &amp; ".xlsm]data'!$H:$H")))), $A181, INDIRECT("'[" &amp; $B$1 &amp; ".xlsm]data'!$P$2:$P" &amp; (COUNTA(INDIRECT("'[" &amp; $B$1 &amp; ".xlsm]data'!$P:$P")))), {1,2,3,3.1,3.2,4,4.1,4.2,4.3,4.4,4.5,5,6,7,8,8.4,9}))</f>
        <v>#REF!</v>
      </c>
      <c r="F181" s="10" t="e">
        <f t="shared" ca="1" si="11"/>
        <v>#REF!</v>
      </c>
      <c r="G181" s="10" t="e">
        <f t="shared" ca="1" si="15"/>
        <v>#REF!</v>
      </c>
      <c r="H181" s="15"/>
      <c r="I181" s="11" t="e">
        <f t="shared" ca="1" si="12"/>
        <v>#REF!</v>
      </c>
    </row>
    <row r="182" spans="1:9" x14ac:dyDescent="0.25">
      <c r="A182" t="s">
        <v>168</v>
      </c>
      <c r="B182" s="10" t="e">
        <f t="shared" ca="1" si="13"/>
        <v>#REF!</v>
      </c>
      <c r="C182" s="13" t="e">
        <f t="shared" ca="1" si="16"/>
        <v>#REF!</v>
      </c>
      <c r="D182" s="11" t="e">
        <f t="shared" ca="1" si="16"/>
        <v>#REF!</v>
      </c>
      <c r="E182" s="10" t="e" cm="1">
        <f t="array" aca="1" ref="E182" ca="1">SUM(COUNTIFS(INDIRECT("'[" &amp; $B$1 &amp; ".xlsm]data'!$H$2:$H" &amp; (COUNTA(INDIRECT("'[" &amp; $B$1 &amp; ".xlsm]data'!$H:$H")))), $A182, INDIRECT("'[" &amp; $B$1 &amp; ".xlsm]data'!$P$2:$P" &amp; (COUNTA(INDIRECT("'[" &amp; $B$1 &amp; ".xlsm]data'!$P:$P")))), {1,2,3,3.1,3.2,4,4.1,4.2,4.3,4.4,4.5,5,6,7,8,8.4,9}))</f>
        <v>#REF!</v>
      </c>
      <c r="F182" s="10" t="e">
        <f t="shared" ca="1" si="11"/>
        <v>#REF!</v>
      </c>
      <c r="G182" s="10" t="e">
        <f t="shared" ca="1" si="15"/>
        <v>#REF!</v>
      </c>
      <c r="H182" s="15"/>
      <c r="I182" s="11" t="e">
        <f t="shared" ca="1" si="12"/>
        <v>#REF!</v>
      </c>
    </row>
    <row r="183" spans="1:9" x14ac:dyDescent="0.25">
      <c r="A183" t="s">
        <v>169</v>
      </c>
      <c r="B183" s="10" t="e">
        <f t="shared" ca="1" si="13"/>
        <v>#REF!</v>
      </c>
      <c r="C183" s="13" t="e">
        <f t="shared" ca="1" si="16"/>
        <v>#REF!</v>
      </c>
      <c r="D183" s="11" t="e">
        <f t="shared" ca="1" si="16"/>
        <v>#REF!</v>
      </c>
      <c r="E183" s="10" t="e" cm="1">
        <f t="array" aca="1" ref="E183" ca="1">SUM(COUNTIFS(INDIRECT("'[" &amp; $B$1 &amp; ".xlsm]data'!$H$2:$H" &amp; (COUNTA(INDIRECT("'[" &amp; $B$1 &amp; ".xlsm]data'!$H:$H")))), $A183, INDIRECT("'[" &amp; $B$1 &amp; ".xlsm]data'!$P$2:$P" &amp; (COUNTA(INDIRECT("'[" &amp; $B$1 &amp; ".xlsm]data'!$P:$P")))), {1,2,3,3.1,3.2,4,4.1,4.2,4.3,4.4,4.5,5,6,7,8,8.4,9}))</f>
        <v>#REF!</v>
      </c>
      <c r="F183" s="10" t="e">
        <f t="shared" ca="1" si="11"/>
        <v>#REF!</v>
      </c>
      <c r="G183" s="10" t="e">
        <f t="shared" ca="1" si="15"/>
        <v>#REF!</v>
      </c>
      <c r="H183" s="15"/>
      <c r="I183" s="11" t="e">
        <f t="shared" ca="1" si="12"/>
        <v>#REF!</v>
      </c>
    </row>
    <row r="184" spans="1:9" x14ac:dyDescent="0.25">
      <c r="A184" t="s">
        <v>170</v>
      </c>
      <c r="B184" s="10" t="e">
        <f t="shared" ca="1" si="13"/>
        <v>#REF!</v>
      </c>
      <c r="C184" s="13" t="e">
        <f t="shared" ca="1" si="16"/>
        <v>#REF!</v>
      </c>
      <c r="D184" s="11" t="e">
        <f t="shared" ca="1" si="16"/>
        <v>#REF!</v>
      </c>
      <c r="E184" s="10" t="e" cm="1">
        <f t="array" aca="1" ref="E184" ca="1">SUM(COUNTIFS(INDIRECT("'[" &amp; $B$1 &amp; ".xlsm]data'!$H$2:$H" &amp; (COUNTA(INDIRECT("'[" &amp; $B$1 &amp; ".xlsm]data'!$H:$H")))), $A184, INDIRECT("'[" &amp; $B$1 &amp; ".xlsm]data'!$P$2:$P" &amp; (COUNTA(INDIRECT("'[" &amp; $B$1 &amp; ".xlsm]data'!$P:$P")))), {1,2,3,3.1,3.2,4,4.1,4.2,4.3,4.4,4.5,5,6,7,8,8.4,9}))</f>
        <v>#REF!</v>
      </c>
      <c r="F184" s="10" t="e">
        <f t="shared" ca="1" si="11"/>
        <v>#REF!</v>
      </c>
      <c r="G184" s="10" t="e">
        <f t="shared" ca="1" si="15"/>
        <v>#REF!</v>
      </c>
      <c r="H184" s="15"/>
      <c r="I184" s="11" t="e">
        <f t="shared" ca="1" si="12"/>
        <v>#REF!</v>
      </c>
    </row>
    <row r="185" spans="1:9" x14ac:dyDescent="0.25">
      <c r="A185" t="s">
        <v>284</v>
      </c>
      <c r="B185" s="10" t="e">
        <f t="shared" ca="1" si="13"/>
        <v>#REF!</v>
      </c>
      <c r="C185" s="13" t="e">
        <f t="shared" ca="1" si="16"/>
        <v>#REF!</v>
      </c>
      <c r="D185" s="11" t="e">
        <f t="shared" ca="1" si="16"/>
        <v>#REF!</v>
      </c>
      <c r="E185" s="10" t="e" cm="1">
        <f t="array" aca="1" ref="E185" ca="1">SUM(COUNTIFS(INDIRECT("'[" &amp; $B$1 &amp; ".xlsm]data'!$H$2:$H" &amp; (COUNTA(INDIRECT("'[" &amp; $B$1 &amp; ".xlsm]data'!$H:$H")))), $A185, INDIRECT("'[" &amp; $B$1 &amp; ".xlsm]data'!$P$2:$P" &amp; (COUNTA(INDIRECT("'[" &amp; $B$1 &amp; ".xlsm]data'!$P:$P")))), {1,2,3,3.1,3.2,4,4.1,4.2,4.3,4.4,4.5,5,6,7,8,8.4,9}))</f>
        <v>#REF!</v>
      </c>
      <c r="F185" s="10" t="e">
        <f t="shared" ca="1" si="11"/>
        <v>#REF!</v>
      </c>
      <c r="G185" s="10" t="e">
        <f t="shared" ca="1" si="15"/>
        <v>#REF!</v>
      </c>
      <c r="H185" s="15"/>
      <c r="I185" s="11" t="e">
        <f t="shared" ca="1" si="12"/>
        <v>#REF!</v>
      </c>
    </row>
    <row r="186" spans="1:9" x14ac:dyDescent="0.25">
      <c r="A186" t="s">
        <v>171</v>
      </c>
      <c r="B186" s="10" t="e">
        <f t="shared" ca="1" si="13"/>
        <v>#REF!</v>
      </c>
      <c r="C186" s="13" t="e">
        <f t="shared" ca="1" si="16"/>
        <v>#REF!</v>
      </c>
      <c r="D186" s="11" t="e">
        <f t="shared" ca="1" si="16"/>
        <v>#REF!</v>
      </c>
      <c r="E186" s="10" t="e" cm="1">
        <f t="array" aca="1" ref="E186" ca="1">SUM(COUNTIFS(INDIRECT("'[" &amp; $B$1 &amp; ".xlsm]data'!$H$2:$H" &amp; (COUNTA(INDIRECT("'[" &amp; $B$1 &amp; ".xlsm]data'!$H:$H")))), $A186, INDIRECT("'[" &amp; $B$1 &amp; ".xlsm]data'!$P$2:$P" &amp; (COUNTA(INDIRECT("'[" &amp; $B$1 &amp; ".xlsm]data'!$P:$P")))), {1,2,3,3.1,3.2,4,4.1,4.2,4.3,4.4,4.5,5,6,7,8,8.4,9}))</f>
        <v>#REF!</v>
      </c>
      <c r="F186" s="10" t="e">
        <f t="shared" ca="1" si="11"/>
        <v>#REF!</v>
      </c>
      <c r="G186" s="10" t="e">
        <f t="shared" ca="1" si="15"/>
        <v>#REF!</v>
      </c>
      <c r="H186" s="15"/>
      <c r="I186" s="11" t="e">
        <f t="shared" ca="1" si="12"/>
        <v>#REF!</v>
      </c>
    </row>
    <row r="187" spans="1:9" x14ac:dyDescent="0.25">
      <c r="A187" t="s">
        <v>244</v>
      </c>
      <c r="B187" s="10" t="e">
        <f t="shared" ca="1" si="13"/>
        <v>#REF!</v>
      </c>
      <c r="C187" s="13" t="e">
        <f t="shared" ca="1" si="16"/>
        <v>#REF!</v>
      </c>
      <c r="D187" s="11" t="e">
        <f t="shared" ca="1" si="16"/>
        <v>#REF!</v>
      </c>
      <c r="E187" s="10" t="e" cm="1">
        <f t="array" aca="1" ref="E187" ca="1">SUM(COUNTIFS(INDIRECT("'[" &amp; $B$1 &amp; ".xlsm]data'!$H$2:$H" &amp; (COUNTA(INDIRECT("'[" &amp; $B$1 &amp; ".xlsm]data'!$H:$H")))), $A187, INDIRECT("'[" &amp; $B$1 &amp; ".xlsm]data'!$P$2:$P" &amp; (COUNTA(INDIRECT("'[" &amp; $B$1 &amp; ".xlsm]data'!$P:$P")))), {1,2,3,3.1,3.2,4,4.1,4.2,4.3,4.4,4.5,5,6,7,8,8.4,9}))</f>
        <v>#REF!</v>
      </c>
      <c r="F187" s="10" t="e">
        <f t="shared" ca="1" si="11"/>
        <v>#REF!</v>
      </c>
      <c r="G187" s="10" t="e">
        <f t="shared" ca="1" si="15"/>
        <v>#REF!</v>
      </c>
      <c r="H187" s="15"/>
      <c r="I187" s="11" t="e">
        <f t="shared" ca="1" si="12"/>
        <v>#REF!</v>
      </c>
    </row>
    <row r="188" spans="1:9" x14ac:dyDescent="0.25">
      <c r="A188" t="s">
        <v>172</v>
      </c>
      <c r="B188" s="10" t="e">
        <f t="shared" ca="1" si="13"/>
        <v>#REF!</v>
      </c>
      <c r="C188" s="13" t="e">
        <f t="shared" ca="1" si="16"/>
        <v>#REF!</v>
      </c>
      <c r="D188" s="11" t="e">
        <f t="shared" ca="1" si="16"/>
        <v>#REF!</v>
      </c>
      <c r="E188" s="10" t="e" cm="1">
        <f t="array" aca="1" ref="E188" ca="1">SUM(COUNTIFS(INDIRECT("'[" &amp; $B$1 &amp; ".xlsm]data'!$H$2:$H" &amp; (COUNTA(INDIRECT("'[" &amp; $B$1 &amp; ".xlsm]data'!$H:$H")))), $A188, INDIRECT("'[" &amp; $B$1 &amp; ".xlsm]data'!$P$2:$P" &amp; (COUNTA(INDIRECT("'[" &amp; $B$1 &amp; ".xlsm]data'!$P:$P")))), {1,2,3,3.1,3.2,4,4.1,4.2,4.3,4.4,4.5,5,6,7,8,8.4,9}))</f>
        <v>#REF!</v>
      </c>
      <c r="F188" s="10" t="e">
        <f t="shared" ca="1" si="11"/>
        <v>#REF!</v>
      </c>
      <c r="G188" s="10" t="e">
        <f t="shared" ca="1" si="15"/>
        <v>#REF!</v>
      </c>
      <c r="H188" s="15"/>
      <c r="I188" s="11" t="e">
        <f t="shared" ca="1" si="12"/>
        <v>#REF!</v>
      </c>
    </row>
    <row r="189" spans="1:9" x14ac:dyDescent="0.25">
      <c r="A189" t="s">
        <v>173</v>
      </c>
      <c r="B189" s="10" t="e">
        <f t="shared" ca="1" si="13"/>
        <v>#REF!</v>
      </c>
      <c r="C189" s="13" t="e">
        <f t="shared" ca="1" si="16"/>
        <v>#REF!</v>
      </c>
      <c r="D189" s="11" t="e">
        <f t="shared" ca="1" si="16"/>
        <v>#REF!</v>
      </c>
      <c r="E189" s="10" t="e" cm="1">
        <f t="array" aca="1" ref="E189" ca="1">SUM(COUNTIFS(INDIRECT("'[" &amp; $B$1 &amp; ".xlsm]data'!$H$2:$H" &amp; (COUNTA(INDIRECT("'[" &amp; $B$1 &amp; ".xlsm]data'!$H:$H")))), $A189, INDIRECT("'[" &amp; $B$1 &amp; ".xlsm]data'!$P$2:$P" &amp; (COUNTA(INDIRECT("'[" &amp; $B$1 &amp; ".xlsm]data'!$P:$P")))), {1,2,3,3.1,3.2,4,4.1,4.2,4.3,4.4,4.5,5,6,7,8,8.4,9}))</f>
        <v>#REF!</v>
      </c>
      <c r="F189" s="10" t="e">
        <f t="shared" ca="1" si="11"/>
        <v>#REF!</v>
      </c>
      <c r="G189" s="10" t="e">
        <f t="shared" ca="1" si="15"/>
        <v>#REF!</v>
      </c>
      <c r="H189" s="15"/>
      <c r="I189" s="11" t="e">
        <f t="shared" ca="1" si="12"/>
        <v>#REF!</v>
      </c>
    </row>
    <row r="190" spans="1:9" x14ac:dyDescent="0.25">
      <c r="A190" t="s">
        <v>174</v>
      </c>
      <c r="B190" s="10" t="e">
        <f t="shared" ca="1" si="13"/>
        <v>#REF!</v>
      </c>
      <c r="C190" s="13" t="e">
        <f t="shared" ca="1" si="16"/>
        <v>#REF!</v>
      </c>
      <c r="D190" s="11" t="e">
        <f t="shared" ca="1" si="16"/>
        <v>#REF!</v>
      </c>
      <c r="E190" s="10" t="e" cm="1">
        <f t="array" aca="1" ref="E190" ca="1">SUM(COUNTIFS(INDIRECT("'[" &amp; $B$1 &amp; ".xlsm]data'!$H$2:$H" &amp; (COUNTA(INDIRECT("'[" &amp; $B$1 &amp; ".xlsm]data'!$H:$H")))), $A190, INDIRECT("'[" &amp; $B$1 &amp; ".xlsm]data'!$P$2:$P" &amp; (COUNTA(INDIRECT("'[" &amp; $B$1 &amp; ".xlsm]data'!$P:$P")))), {1,2,3,3.1,3.2,4,4.1,4.2,4.3,4.4,4.5,5,6,7,8,8.4,9}))</f>
        <v>#REF!</v>
      </c>
      <c r="F190" s="10" t="e">
        <f t="shared" ca="1" si="11"/>
        <v>#REF!</v>
      </c>
      <c r="G190" s="10" t="e">
        <f t="shared" ca="1" si="15"/>
        <v>#REF!</v>
      </c>
      <c r="H190" s="15"/>
      <c r="I190" s="11" t="e">
        <f t="shared" ca="1" si="12"/>
        <v>#REF!</v>
      </c>
    </row>
    <row r="191" spans="1:9" x14ac:dyDescent="0.25">
      <c r="A191" t="s">
        <v>285</v>
      </c>
      <c r="B191" s="10" t="e">
        <f t="shared" ca="1" si="13"/>
        <v>#REF!</v>
      </c>
      <c r="C191" s="13" t="e">
        <f t="shared" ca="1" si="16"/>
        <v>#REF!</v>
      </c>
      <c r="D191" s="11" t="e">
        <f t="shared" ca="1" si="16"/>
        <v>#REF!</v>
      </c>
      <c r="E191" s="10" t="e" cm="1">
        <f t="array" aca="1" ref="E191" ca="1">SUM(COUNTIFS(INDIRECT("'[" &amp; $B$1 &amp; ".xlsm]data'!$H$2:$H" &amp; (COUNTA(INDIRECT("'[" &amp; $B$1 &amp; ".xlsm]data'!$H:$H")))), $A191, INDIRECT("'[" &amp; $B$1 &amp; ".xlsm]data'!$P$2:$P" &amp; (COUNTA(INDIRECT("'[" &amp; $B$1 &amp; ".xlsm]data'!$P:$P")))), {1,2,3,3.1,3.2,4,4.1,4.2,4.3,4.4,4.5,5,6,7,8,8.4,9}))</f>
        <v>#REF!</v>
      </c>
      <c r="F191" s="10" t="e">
        <f t="shared" ca="1" si="11"/>
        <v>#REF!</v>
      </c>
      <c r="G191" s="10" t="e">
        <f t="shared" ca="1" si="15"/>
        <v>#REF!</v>
      </c>
      <c r="H191" s="15"/>
      <c r="I191" s="11" t="e">
        <f t="shared" ca="1" si="12"/>
        <v>#REF!</v>
      </c>
    </row>
    <row r="192" spans="1:9" x14ac:dyDescent="0.25">
      <c r="A192" t="s">
        <v>175</v>
      </c>
      <c r="B192" s="10" t="e">
        <f t="shared" ca="1" si="13"/>
        <v>#REF!</v>
      </c>
      <c r="C192" s="13" t="e">
        <f t="shared" ca="1" si="16"/>
        <v>#REF!</v>
      </c>
      <c r="D192" s="11" t="e">
        <f t="shared" ca="1" si="16"/>
        <v>#REF!</v>
      </c>
      <c r="E192" s="10" t="e" cm="1">
        <f t="array" aca="1" ref="E192" ca="1">SUM(COUNTIFS(INDIRECT("'[" &amp; $B$1 &amp; ".xlsm]data'!$H$2:$H" &amp; (COUNTA(INDIRECT("'[" &amp; $B$1 &amp; ".xlsm]data'!$H:$H")))), $A192, INDIRECT("'[" &amp; $B$1 &amp; ".xlsm]data'!$P$2:$P" &amp; (COUNTA(INDIRECT("'[" &amp; $B$1 &amp; ".xlsm]data'!$P:$P")))), {1,2,3,3.1,3.2,4,4.1,4.2,4.3,4.4,4.5,5,6,7,8,8.4,9}))</f>
        <v>#REF!</v>
      </c>
      <c r="F192" s="10" t="e">
        <f t="shared" ca="1" si="11"/>
        <v>#REF!</v>
      </c>
      <c r="G192" s="10" t="e">
        <f t="shared" ca="1" si="15"/>
        <v>#REF!</v>
      </c>
      <c r="H192" s="15"/>
      <c r="I192" s="11" t="e">
        <f t="shared" ca="1" si="12"/>
        <v>#REF!</v>
      </c>
    </row>
    <row r="193" spans="1:9" x14ac:dyDescent="0.25">
      <c r="A193" t="s">
        <v>176</v>
      </c>
      <c r="B193" s="10" t="e">
        <f t="shared" ca="1" si="13"/>
        <v>#REF!</v>
      </c>
      <c r="C193" s="13" t="e">
        <f t="shared" ca="1" si="16"/>
        <v>#REF!</v>
      </c>
      <c r="D193" s="11" t="e">
        <f t="shared" ca="1" si="16"/>
        <v>#REF!</v>
      </c>
      <c r="E193" s="10" t="e" cm="1">
        <f t="array" aca="1" ref="E193" ca="1">SUM(COUNTIFS(INDIRECT("'[" &amp; $B$1 &amp; ".xlsm]data'!$H$2:$H" &amp; (COUNTA(INDIRECT("'[" &amp; $B$1 &amp; ".xlsm]data'!$H:$H")))), $A193, INDIRECT("'[" &amp; $B$1 &amp; ".xlsm]data'!$P$2:$P" &amp; (COUNTA(INDIRECT("'[" &amp; $B$1 &amp; ".xlsm]data'!$P:$P")))), {1,2,3,3.1,3.2,4,4.1,4.2,4.3,4.4,4.5,5,6,7,8,8.4,9}))</f>
        <v>#REF!</v>
      </c>
      <c r="F193" s="10" t="e">
        <f t="shared" ca="1" si="11"/>
        <v>#REF!</v>
      </c>
      <c r="G193" s="10" t="e">
        <f t="shared" ca="1" si="15"/>
        <v>#REF!</v>
      </c>
      <c r="H193" s="15"/>
      <c r="I193" s="11" t="e">
        <f t="shared" ca="1" si="12"/>
        <v>#REF!</v>
      </c>
    </row>
    <row r="194" spans="1:9" x14ac:dyDescent="0.25">
      <c r="A194" t="s">
        <v>177</v>
      </c>
      <c r="B194" s="10" t="e">
        <f t="shared" ca="1" si="13"/>
        <v>#REF!</v>
      </c>
      <c r="C194" s="13" t="e">
        <f t="shared" ca="1" si="16"/>
        <v>#REF!</v>
      </c>
      <c r="D194" s="11" t="e">
        <f t="shared" ca="1" si="16"/>
        <v>#REF!</v>
      </c>
      <c r="E194" s="10" t="e" cm="1">
        <f t="array" aca="1" ref="E194" ca="1">SUM(COUNTIFS(INDIRECT("'[" &amp; $B$1 &amp; ".xlsm]data'!$H$2:$H" &amp; (COUNTA(INDIRECT("'[" &amp; $B$1 &amp; ".xlsm]data'!$H:$H")))), $A194, INDIRECT("'[" &amp; $B$1 &amp; ".xlsm]data'!$P$2:$P" &amp; (COUNTA(INDIRECT("'[" &amp; $B$1 &amp; ".xlsm]data'!$P:$P")))), {1,2,3,3.1,3.2,4,4.1,4.2,4.3,4.4,4.5,5,6,7,8,8.4,9}))</f>
        <v>#REF!</v>
      </c>
      <c r="F194" s="10" t="e">
        <f t="shared" ca="1" si="11"/>
        <v>#REF!</v>
      </c>
      <c r="G194" s="10" t="e">
        <f t="shared" ca="1" si="15"/>
        <v>#REF!</v>
      </c>
      <c r="H194" s="15"/>
      <c r="I194" s="11" t="e">
        <f t="shared" ca="1" si="12"/>
        <v>#REF!</v>
      </c>
    </row>
    <row r="195" spans="1:9" x14ac:dyDescent="0.25">
      <c r="A195" t="s">
        <v>178</v>
      </c>
      <c r="B195" s="10" t="e">
        <f t="shared" ca="1" si="13"/>
        <v>#REF!</v>
      </c>
      <c r="C195" s="13" t="e">
        <f t="shared" ca="1" si="16"/>
        <v>#REF!</v>
      </c>
      <c r="D195" s="11" t="e">
        <f t="shared" ca="1" si="16"/>
        <v>#REF!</v>
      </c>
      <c r="E195" s="10" t="e" cm="1">
        <f t="array" aca="1" ref="E195" ca="1">SUM(COUNTIFS(INDIRECT("'[" &amp; $B$1 &amp; ".xlsm]data'!$H$2:$H" &amp; (COUNTA(INDIRECT("'[" &amp; $B$1 &amp; ".xlsm]data'!$H:$H")))), $A195, INDIRECT("'[" &amp; $B$1 &amp; ".xlsm]data'!$P$2:$P" &amp; (COUNTA(INDIRECT("'[" &amp; $B$1 &amp; ".xlsm]data'!$P:$P")))), {1,2,3,3.1,3.2,4,4.1,4.2,4.3,4.4,4.5,5,6,7,8,8.4,9}))</f>
        <v>#REF!</v>
      </c>
      <c r="F195" s="10" t="e">
        <f t="shared" ca="1" si="11"/>
        <v>#REF!</v>
      </c>
      <c r="G195" s="10" t="e">
        <f t="shared" ca="1" si="15"/>
        <v>#REF!</v>
      </c>
      <c r="H195" s="15"/>
      <c r="I195" s="11" t="e">
        <f t="shared" ca="1" si="12"/>
        <v>#REF!</v>
      </c>
    </row>
    <row r="196" spans="1:9" x14ac:dyDescent="0.25">
      <c r="A196" t="s">
        <v>179</v>
      </c>
      <c r="B196" s="10" t="e">
        <f t="shared" ca="1" si="13"/>
        <v>#REF!</v>
      </c>
      <c r="C196" s="13" t="e">
        <f t="shared" ca="1" si="16"/>
        <v>#REF!</v>
      </c>
      <c r="D196" s="11" t="e">
        <f t="shared" ca="1" si="16"/>
        <v>#REF!</v>
      </c>
      <c r="E196" s="10" t="e" cm="1">
        <f t="array" aca="1" ref="E196" ca="1">SUM(COUNTIFS(INDIRECT("'[" &amp; $B$1 &amp; ".xlsm]data'!$H$2:$H" &amp; (COUNTA(INDIRECT("'[" &amp; $B$1 &amp; ".xlsm]data'!$H:$H")))), $A196, INDIRECT("'[" &amp; $B$1 &amp; ".xlsm]data'!$P$2:$P" &amp; (COUNTA(INDIRECT("'[" &amp; $B$1 &amp; ".xlsm]data'!$P:$P")))), {1,2,3,3.1,3.2,4,4.1,4.2,4.3,4.4,4.5,5,6,7,8,8.4,9}))</f>
        <v>#REF!</v>
      </c>
      <c r="F196" s="10" t="e">
        <f t="shared" ca="1" si="11"/>
        <v>#REF!</v>
      </c>
      <c r="G196" s="10" t="e">
        <f t="shared" ca="1" si="15"/>
        <v>#REF!</v>
      </c>
      <c r="H196" s="15"/>
      <c r="I196" s="11" t="e">
        <f t="shared" ca="1" si="12"/>
        <v>#REF!</v>
      </c>
    </row>
    <row r="197" spans="1:9" x14ac:dyDescent="0.25">
      <c r="A197" t="s">
        <v>180</v>
      </c>
      <c r="B197" s="10" t="e">
        <f t="shared" ca="1" si="13"/>
        <v>#REF!</v>
      </c>
      <c r="C197" s="13" t="e">
        <f t="shared" ca="1" si="16"/>
        <v>#REF!</v>
      </c>
      <c r="D197" s="11" t="e">
        <f t="shared" ca="1" si="16"/>
        <v>#REF!</v>
      </c>
      <c r="E197" s="10" t="e" cm="1">
        <f t="array" aca="1" ref="E197" ca="1">SUM(COUNTIFS(INDIRECT("'[" &amp; $B$1 &amp; ".xlsm]data'!$H$2:$H" &amp; (COUNTA(INDIRECT("'[" &amp; $B$1 &amp; ".xlsm]data'!$H:$H")))), $A197, INDIRECT("'[" &amp; $B$1 &amp; ".xlsm]data'!$P$2:$P" &amp; (COUNTA(INDIRECT("'[" &amp; $B$1 &amp; ".xlsm]data'!$P:$P")))), {1,2,3,3.1,3.2,4,4.1,4.2,4.3,4.4,4.5,5,6,7,8,8.4,9}))</f>
        <v>#REF!</v>
      </c>
      <c r="F197" s="10" t="e">
        <f t="shared" ca="1" si="11"/>
        <v>#REF!</v>
      </c>
      <c r="G197" s="10" t="e">
        <f t="shared" ca="1" si="15"/>
        <v>#REF!</v>
      </c>
      <c r="H197" s="15"/>
      <c r="I197" s="11" t="e">
        <f t="shared" ca="1" si="12"/>
        <v>#REF!</v>
      </c>
    </row>
    <row r="198" spans="1:9" x14ac:dyDescent="0.25">
      <c r="A198" t="s">
        <v>181</v>
      </c>
      <c r="B198" s="10" t="e">
        <f t="shared" ca="1" si="13"/>
        <v>#REF!</v>
      </c>
      <c r="C198" s="13" t="e">
        <f t="shared" ca="1" si="16"/>
        <v>#REF!</v>
      </c>
      <c r="D198" s="11" t="e">
        <f t="shared" ca="1" si="16"/>
        <v>#REF!</v>
      </c>
      <c r="E198" s="10" t="e" cm="1">
        <f t="array" aca="1" ref="E198" ca="1">SUM(COUNTIFS(INDIRECT("'[" &amp; $B$1 &amp; ".xlsm]data'!$H$2:$H" &amp; (COUNTA(INDIRECT("'[" &amp; $B$1 &amp; ".xlsm]data'!$H:$H")))), $A198, INDIRECT("'[" &amp; $B$1 &amp; ".xlsm]data'!$P$2:$P" &amp; (COUNTA(INDIRECT("'[" &amp; $B$1 &amp; ".xlsm]data'!$P:$P")))), {1,2,3,3.1,3.2,4,4.1,4.2,4.3,4.4,4.5,5,6,7,8,8.4,9}))</f>
        <v>#REF!</v>
      </c>
      <c r="F198" s="10" t="e">
        <f t="shared" ca="1" si="11"/>
        <v>#REF!</v>
      </c>
      <c r="G198" s="10" t="e">
        <f t="shared" ca="1" si="15"/>
        <v>#REF!</v>
      </c>
      <c r="H198" s="15"/>
      <c r="I198" s="11" t="e">
        <f t="shared" ca="1" si="12"/>
        <v>#REF!</v>
      </c>
    </row>
    <row r="199" spans="1:9" x14ac:dyDescent="0.25">
      <c r="A199" t="s">
        <v>182</v>
      </c>
      <c r="B199" s="10" t="e">
        <f t="shared" ca="1" si="13"/>
        <v>#REF!</v>
      </c>
      <c r="C199" s="13" t="e">
        <f t="shared" ca="1" si="16"/>
        <v>#REF!</v>
      </c>
      <c r="D199" s="11" t="e">
        <f t="shared" ca="1" si="16"/>
        <v>#REF!</v>
      </c>
      <c r="E199" s="10" t="e" cm="1">
        <f t="array" aca="1" ref="E199" ca="1">SUM(COUNTIFS(INDIRECT("'[" &amp; $B$1 &amp; ".xlsm]data'!$H$2:$H" &amp; (COUNTA(INDIRECT("'[" &amp; $B$1 &amp; ".xlsm]data'!$H:$H")))), $A199, INDIRECT("'[" &amp; $B$1 &amp; ".xlsm]data'!$P$2:$P" &amp; (COUNTA(INDIRECT("'[" &amp; $B$1 &amp; ".xlsm]data'!$P:$P")))), {1,2,3,3.1,3.2,4,4.1,4.2,4.3,4.4,4.5,5,6,7,8,8.4,9}))</f>
        <v>#REF!</v>
      </c>
      <c r="F199" s="10" t="e">
        <f t="shared" ca="1" si="11"/>
        <v>#REF!</v>
      </c>
      <c r="G199" s="10" t="e">
        <f t="shared" ca="1" si="15"/>
        <v>#REF!</v>
      </c>
      <c r="H199" s="15"/>
      <c r="I199" s="11" t="e">
        <f t="shared" ca="1" si="12"/>
        <v>#REF!</v>
      </c>
    </row>
    <row r="200" spans="1:9" x14ac:dyDescent="0.25">
      <c r="A200" t="s">
        <v>183</v>
      </c>
      <c r="B200" s="10" t="e">
        <f t="shared" ca="1" si="13"/>
        <v>#REF!</v>
      </c>
      <c r="C200" s="13" t="e">
        <f t="shared" ca="1" si="16"/>
        <v>#REF!</v>
      </c>
      <c r="D200" s="11" t="e">
        <f t="shared" ca="1" si="16"/>
        <v>#REF!</v>
      </c>
      <c r="E200" s="10" t="e" cm="1">
        <f t="array" aca="1" ref="E200" ca="1">SUM(COUNTIFS(INDIRECT("'[" &amp; $B$1 &amp; ".xlsm]data'!$H$2:$H" &amp; (COUNTA(INDIRECT("'[" &amp; $B$1 &amp; ".xlsm]data'!$H:$H")))), $A200, INDIRECT("'[" &amp; $B$1 &amp; ".xlsm]data'!$P$2:$P" &amp; (COUNTA(INDIRECT("'[" &amp; $B$1 &amp; ".xlsm]data'!$P:$P")))), {1,2,3,3.1,3.2,4,4.1,4.2,4.3,4.4,4.5,5,6,7,8,8.4,9}))</f>
        <v>#REF!</v>
      </c>
      <c r="F200" s="10" t="e">
        <f t="shared" ca="1" si="11"/>
        <v>#REF!</v>
      </c>
      <c r="G200" s="10" t="e">
        <f t="shared" ca="1" si="15"/>
        <v>#REF!</v>
      </c>
      <c r="H200" s="15"/>
      <c r="I200" s="11" t="e">
        <f t="shared" ca="1" si="12"/>
        <v>#REF!</v>
      </c>
    </row>
    <row r="201" spans="1:9" x14ac:dyDescent="0.25">
      <c r="A201" t="s">
        <v>184</v>
      </c>
      <c r="B201" s="10" t="e">
        <f t="shared" ca="1" si="13"/>
        <v>#REF!</v>
      </c>
      <c r="C201" s="13" t="e">
        <f t="shared" ca="1" si="16"/>
        <v>#REF!</v>
      </c>
      <c r="D201" s="11" t="e">
        <f t="shared" ca="1" si="16"/>
        <v>#REF!</v>
      </c>
      <c r="E201" s="10" t="e" cm="1">
        <f t="array" aca="1" ref="E201" ca="1">SUM(COUNTIFS(INDIRECT("'[" &amp; $B$1 &amp; ".xlsm]data'!$H$2:$H" &amp; (COUNTA(INDIRECT("'[" &amp; $B$1 &amp; ".xlsm]data'!$H:$H")))), $A201, INDIRECT("'[" &amp; $B$1 &amp; ".xlsm]data'!$P$2:$P" &amp; (COUNTA(INDIRECT("'[" &amp; $B$1 &amp; ".xlsm]data'!$P:$P")))), {1,2,3,3.1,3.2,4,4.1,4.2,4.3,4.4,4.5,5,6,7,8,8.4,9}))</f>
        <v>#REF!</v>
      </c>
      <c r="F201" s="10" t="e">
        <f t="shared" ca="1" si="11"/>
        <v>#REF!</v>
      </c>
      <c r="G201" s="10" t="e">
        <f t="shared" ca="1" si="15"/>
        <v>#REF!</v>
      </c>
      <c r="H201" s="15"/>
      <c r="I201" s="11" t="e">
        <f t="shared" ca="1" si="12"/>
        <v>#REF!</v>
      </c>
    </row>
    <row r="202" spans="1:9" x14ac:dyDescent="0.25">
      <c r="A202" t="s">
        <v>286</v>
      </c>
      <c r="B202" s="10" t="e">
        <f t="shared" ca="1" si="13"/>
        <v>#REF!</v>
      </c>
      <c r="C202" s="13" t="e">
        <f t="shared" ca="1" si="16"/>
        <v>#REF!</v>
      </c>
      <c r="D202" s="11" t="e">
        <f t="shared" ca="1" si="16"/>
        <v>#REF!</v>
      </c>
      <c r="E202" s="10" t="e" cm="1">
        <f t="array" aca="1" ref="E202" ca="1">SUM(COUNTIFS(INDIRECT("'[" &amp; $B$1 &amp; ".xlsm]data'!$H$2:$H" &amp; (COUNTA(INDIRECT("'[" &amp; $B$1 &amp; ".xlsm]data'!$H:$H")))), $A202, INDIRECT("'[" &amp; $B$1 &amp; ".xlsm]data'!$P$2:$P" &amp; (COUNTA(INDIRECT("'[" &amp; $B$1 &amp; ".xlsm]data'!$P:$P")))), {1,2,3,3.1,3.2,4,4.1,4.2,4.3,4.4,4.5,5,6,7,8,8.4,9}))</f>
        <v>#REF!</v>
      </c>
      <c r="F202" s="10" t="e">
        <f t="shared" ref="F202:F243" ca="1" si="17">COUNTIFS(INDIRECT("[" &amp; $B$1 &amp; ".xlsm]data!$H:$H"), $A202, (INDIRECT("[" &amp; $B$1 &amp; ".xlsm]data!$V:$V")),"")</f>
        <v>#REF!</v>
      </c>
      <c r="G202" s="10" t="e">
        <f t="shared" ca="1" si="15"/>
        <v>#REF!</v>
      </c>
      <c r="H202" s="15"/>
      <c r="I202" s="11" t="e">
        <f t="shared" ref="I202:I236" ca="1" si="18">IF(B202&lt;&gt;G202, "no", "yes")</f>
        <v>#REF!</v>
      </c>
    </row>
    <row r="203" spans="1:9" x14ac:dyDescent="0.25">
      <c r="A203" t="s">
        <v>185</v>
      </c>
      <c r="B203" s="10" t="e">
        <f t="shared" ref="B203:B243" ca="1" si="19">COUNTIF(INDIRECT("'[" &amp; $B$1 &amp; ".xlsm]data'!$I:$I"), $A203)</f>
        <v>#REF!</v>
      </c>
      <c r="C203" s="13" t="e">
        <f t="shared" ref="C203:D243" ca="1" si="20">COUNTIFS(INDIRECT("'[" &amp; $B$1 &amp; ".xlsm]data'!$I:$I"), $A203,(INDIRECT("'[" &amp; $B$1 &amp; ".xlsm]data'!$A:$A")), C$8)</f>
        <v>#REF!</v>
      </c>
      <c r="D203" s="11" t="e">
        <f t="shared" ca="1" si="20"/>
        <v>#REF!</v>
      </c>
      <c r="E203" s="10" t="e" cm="1">
        <f t="array" aca="1" ref="E203" ca="1">SUM(COUNTIFS(INDIRECT("'[" &amp; $B$1 &amp; ".xlsm]data'!$H$2:$H" &amp; (COUNTA(INDIRECT("'[" &amp; $B$1 &amp; ".xlsm]data'!$H:$H")))), $A203, INDIRECT("'[" &amp; $B$1 &amp; ".xlsm]data'!$P$2:$P" &amp; (COUNTA(INDIRECT("'[" &amp; $B$1 &amp; ".xlsm]data'!$P:$P")))), {1,2,3,3.1,3.2,4,4.1,4.2,4.3,4.4,4.5,5,6,7,8,8.4,9}))</f>
        <v>#REF!</v>
      </c>
      <c r="F203" s="10" t="e">
        <f t="shared" ca="1" si="17"/>
        <v>#REF!</v>
      </c>
      <c r="G203" s="10" t="e">
        <f t="shared" ref="G203:G242" ca="1" si="21">COUNTIF(INDIRECT("'[" &amp; $B$2 &amp; ".xlsx]Sheet2'!" &amp; "$H:$H"), $A203)</f>
        <v>#REF!</v>
      </c>
      <c r="H203" s="15"/>
      <c r="I203" s="11" t="e">
        <f t="shared" ca="1" si="18"/>
        <v>#REF!</v>
      </c>
    </row>
    <row r="204" spans="1:9" x14ac:dyDescent="0.25">
      <c r="A204" t="s">
        <v>186</v>
      </c>
      <c r="B204" s="10" t="e">
        <f t="shared" ca="1" si="19"/>
        <v>#REF!</v>
      </c>
      <c r="C204" s="13" t="e">
        <f t="shared" ca="1" si="20"/>
        <v>#REF!</v>
      </c>
      <c r="D204" s="11" t="e">
        <f t="shared" ca="1" si="20"/>
        <v>#REF!</v>
      </c>
      <c r="E204" s="10" t="e" cm="1">
        <f t="array" aca="1" ref="E204" ca="1">SUM(COUNTIFS(INDIRECT("'[" &amp; $B$1 &amp; ".xlsm]data'!$H$2:$H" &amp; (COUNTA(INDIRECT("'[" &amp; $B$1 &amp; ".xlsm]data'!$H:$H")))), $A204, INDIRECT("'[" &amp; $B$1 &amp; ".xlsm]data'!$P$2:$P" &amp; (COUNTA(INDIRECT("'[" &amp; $B$1 &amp; ".xlsm]data'!$P:$P")))), {1,2,3,3.1,3.2,4,4.1,4.2,4.3,4.4,4.5,5,6,7,8,8.4,9}))</f>
        <v>#REF!</v>
      </c>
      <c r="F204" s="10" t="e">
        <f t="shared" ca="1" si="17"/>
        <v>#REF!</v>
      </c>
      <c r="G204" s="10" t="e">
        <f t="shared" ca="1" si="21"/>
        <v>#REF!</v>
      </c>
      <c r="H204" s="15"/>
      <c r="I204" s="11" t="e">
        <f t="shared" ca="1" si="18"/>
        <v>#REF!</v>
      </c>
    </row>
    <row r="205" spans="1:9" x14ac:dyDescent="0.25">
      <c r="A205" t="s">
        <v>187</v>
      </c>
      <c r="B205" s="10" t="e">
        <f t="shared" ca="1" si="19"/>
        <v>#REF!</v>
      </c>
      <c r="C205" s="13" t="e">
        <f t="shared" ca="1" si="20"/>
        <v>#REF!</v>
      </c>
      <c r="D205" s="11" t="e">
        <f t="shared" ca="1" si="20"/>
        <v>#REF!</v>
      </c>
      <c r="E205" s="10" t="e" cm="1">
        <f t="array" aca="1" ref="E205" ca="1">SUM(COUNTIFS(INDIRECT("'[" &amp; $B$1 &amp; ".xlsm]data'!$H$2:$H" &amp; (COUNTA(INDIRECT("'[" &amp; $B$1 &amp; ".xlsm]data'!$H:$H")))), $A205, INDIRECT("'[" &amp; $B$1 &amp; ".xlsm]data'!$P$2:$P" &amp; (COUNTA(INDIRECT("'[" &amp; $B$1 &amp; ".xlsm]data'!$P:$P")))), {1,2,3,3.1,3.2,4,4.1,4.2,4.3,4.4,4.5,5,6,7,8,8.4,9}))</f>
        <v>#REF!</v>
      </c>
      <c r="F205" s="10" t="e">
        <f t="shared" ca="1" si="17"/>
        <v>#REF!</v>
      </c>
      <c r="G205" s="10" t="e">
        <f t="shared" ca="1" si="21"/>
        <v>#REF!</v>
      </c>
      <c r="H205" s="15"/>
      <c r="I205" s="11" t="e">
        <f t="shared" ca="1" si="18"/>
        <v>#REF!</v>
      </c>
    </row>
    <row r="206" spans="1:9" x14ac:dyDescent="0.25">
      <c r="A206" t="s">
        <v>188</v>
      </c>
      <c r="B206" s="10" t="e">
        <f t="shared" ca="1" si="19"/>
        <v>#REF!</v>
      </c>
      <c r="C206" s="13" t="e">
        <f t="shared" ca="1" si="20"/>
        <v>#REF!</v>
      </c>
      <c r="D206" s="11" t="e">
        <f t="shared" ca="1" si="20"/>
        <v>#REF!</v>
      </c>
      <c r="E206" s="10" t="e" cm="1">
        <f t="array" aca="1" ref="E206" ca="1">SUM(COUNTIFS(INDIRECT("'[" &amp; $B$1 &amp; ".xlsm]data'!$H$2:$H" &amp; (COUNTA(INDIRECT("'[" &amp; $B$1 &amp; ".xlsm]data'!$H:$H")))), $A206, INDIRECT("'[" &amp; $B$1 &amp; ".xlsm]data'!$P$2:$P" &amp; (COUNTA(INDIRECT("'[" &amp; $B$1 &amp; ".xlsm]data'!$P:$P")))), {1,2,3,3.1,3.2,4,4.1,4.2,4.3,4.4,4.5,5,6,7,8,8.4,9}))</f>
        <v>#REF!</v>
      </c>
      <c r="F206" s="10" t="e">
        <f t="shared" ca="1" si="17"/>
        <v>#REF!</v>
      </c>
      <c r="G206" s="10" t="e">
        <f t="shared" ca="1" si="21"/>
        <v>#REF!</v>
      </c>
      <c r="H206" s="15"/>
      <c r="I206" s="11" t="e">
        <f t="shared" ca="1" si="18"/>
        <v>#REF!</v>
      </c>
    </row>
    <row r="207" spans="1:9" x14ac:dyDescent="0.25">
      <c r="A207" t="s">
        <v>189</v>
      </c>
      <c r="B207" s="10" t="e">
        <f t="shared" ca="1" si="19"/>
        <v>#REF!</v>
      </c>
      <c r="C207" s="13" t="e">
        <f t="shared" ca="1" si="20"/>
        <v>#REF!</v>
      </c>
      <c r="D207" s="11" t="e">
        <f t="shared" ca="1" si="20"/>
        <v>#REF!</v>
      </c>
      <c r="E207" s="10" t="e" cm="1">
        <f t="array" aca="1" ref="E207" ca="1">SUM(COUNTIFS(INDIRECT("'[" &amp; $B$1 &amp; ".xlsm]data'!$H$2:$H" &amp; (COUNTA(INDIRECT("'[" &amp; $B$1 &amp; ".xlsm]data'!$H:$H")))), $A207, INDIRECT("'[" &amp; $B$1 &amp; ".xlsm]data'!$P$2:$P" &amp; (COUNTA(INDIRECT("'[" &amp; $B$1 &amp; ".xlsm]data'!$P:$P")))), {1,2,3,3.1,3.2,4,4.1,4.2,4.3,4.4,4.5,5,6,7,8,8.4,9}))</f>
        <v>#REF!</v>
      </c>
      <c r="F207" s="10" t="e">
        <f t="shared" ca="1" si="17"/>
        <v>#REF!</v>
      </c>
      <c r="G207" s="10" t="e">
        <f t="shared" ca="1" si="21"/>
        <v>#REF!</v>
      </c>
      <c r="H207" s="15"/>
      <c r="I207" s="11" t="e">
        <f t="shared" ca="1" si="18"/>
        <v>#REF!</v>
      </c>
    </row>
    <row r="208" spans="1:9" x14ac:dyDescent="0.25">
      <c r="A208" t="s">
        <v>190</v>
      </c>
      <c r="B208" s="10" t="e">
        <f t="shared" ca="1" si="19"/>
        <v>#REF!</v>
      </c>
      <c r="C208" s="13" t="e">
        <f t="shared" ca="1" si="20"/>
        <v>#REF!</v>
      </c>
      <c r="D208" s="11" t="e">
        <f t="shared" ca="1" si="20"/>
        <v>#REF!</v>
      </c>
      <c r="E208" s="10" t="e" cm="1">
        <f t="array" aca="1" ref="E208" ca="1">SUM(COUNTIFS(INDIRECT("'[" &amp; $B$1 &amp; ".xlsm]data'!$H$2:$H" &amp; (COUNTA(INDIRECT("'[" &amp; $B$1 &amp; ".xlsm]data'!$H:$H")))), $A208, INDIRECT("'[" &amp; $B$1 &amp; ".xlsm]data'!$P$2:$P" &amp; (COUNTA(INDIRECT("'[" &amp; $B$1 &amp; ".xlsm]data'!$P:$P")))), {1,2,3,3.1,3.2,4,4.1,4.2,4.3,4.4,4.5,5,6,7,8,8.4,9}))</f>
        <v>#REF!</v>
      </c>
      <c r="F208" s="10" t="e">
        <f t="shared" ca="1" si="17"/>
        <v>#REF!</v>
      </c>
      <c r="G208" s="10" t="e">
        <f t="shared" ca="1" si="21"/>
        <v>#REF!</v>
      </c>
      <c r="H208" s="15"/>
      <c r="I208" s="11" t="e">
        <f t="shared" ca="1" si="18"/>
        <v>#REF!</v>
      </c>
    </row>
    <row r="209" spans="1:9" x14ac:dyDescent="0.25">
      <c r="A209" t="s">
        <v>191</v>
      </c>
      <c r="B209" s="10" t="e">
        <f t="shared" ca="1" si="19"/>
        <v>#REF!</v>
      </c>
      <c r="C209" s="13" t="e">
        <f t="shared" ca="1" si="20"/>
        <v>#REF!</v>
      </c>
      <c r="D209" s="11" t="e">
        <f t="shared" ca="1" si="20"/>
        <v>#REF!</v>
      </c>
      <c r="E209" s="10" t="e" cm="1">
        <f t="array" aca="1" ref="E209" ca="1">SUM(COUNTIFS(INDIRECT("'[" &amp; $B$1 &amp; ".xlsm]data'!$H$2:$H" &amp; (COUNTA(INDIRECT("'[" &amp; $B$1 &amp; ".xlsm]data'!$H:$H")))), $A209, INDIRECT("'[" &amp; $B$1 &amp; ".xlsm]data'!$P$2:$P" &amp; (COUNTA(INDIRECT("'[" &amp; $B$1 &amp; ".xlsm]data'!$P:$P")))), {1,2,3,3.1,3.2,4,4.1,4.2,4.3,4.4,4.5,5,6,7,8,8.4,9}))</f>
        <v>#REF!</v>
      </c>
      <c r="F209" s="10" t="e">
        <f t="shared" ca="1" si="17"/>
        <v>#REF!</v>
      </c>
      <c r="G209" s="10" t="e">
        <f t="shared" ca="1" si="21"/>
        <v>#REF!</v>
      </c>
      <c r="H209" s="15"/>
      <c r="I209" s="11" t="e">
        <f t="shared" ca="1" si="18"/>
        <v>#REF!</v>
      </c>
    </row>
    <row r="210" spans="1:9" x14ac:dyDescent="0.25">
      <c r="A210" t="s">
        <v>192</v>
      </c>
      <c r="B210" s="10" t="e">
        <f t="shared" ca="1" si="19"/>
        <v>#REF!</v>
      </c>
      <c r="C210" s="13" t="e">
        <f t="shared" ca="1" si="20"/>
        <v>#REF!</v>
      </c>
      <c r="D210" s="11" t="e">
        <f t="shared" ca="1" si="20"/>
        <v>#REF!</v>
      </c>
      <c r="E210" s="10" t="e" cm="1">
        <f t="array" aca="1" ref="E210" ca="1">SUM(COUNTIFS(INDIRECT("'[" &amp; $B$1 &amp; ".xlsm]data'!$H$2:$H" &amp; (COUNTA(INDIRECT("'[" &amp; $B$1 &amp; ".xlsm]data'!$H:$H")))), $A210, INDIRECT("'[" &amp; $B$1 &amp; ".xlsm]data'!$P$2:$P" &amp; (COUNTA(INDIRECT("'[" &amp; $B$1 &amp; ".xlsm]data'!$P:$P")))), {1,2,3,3.1,3.2,4,4.1,4.2,4.3,4.4,4.5,5,6,7,8,8.4,9}))</f>
        <v>#REF!</v>
      </c>
      <c r="F210" s="10" t="e">
        <f t="shared" ca="1" si="17"/>
        <v>#REF!</v>
      </c>
      <c r="G210" s="10" t="e">
        <f t="shared" ca="1" si="21"/>
        <v>#REF!</v>
      </c>
      <c r="H210" s="15"/>
      <c r="I210" s="11" t="e">
        <f t="shared" ca="1" si="18"/>
        <v>#REF!</v>
      </c>
    </row>
    <row r="211" spans="1:9" x14ac:dyDescent="0.25">
      <c r="A211" t="s">
        <v>193</v>
      </c>
      <c r="B211" s="10" t="e">
        <f t="shared" ca="1" si="19"/>
        <v>#REF!</v>
      </c>
      <c r="C211" s="13" t="e">
        <f t="shared" ca="1" si="20"/>
        <v>#REF!</v>
      </c>
      <c r="D211" s="11" t="e">
        <f t="shared" ca="1" si="20"/>
        <v>#REF!</v>
      </c>
      <c r="E211" s="10" t="e" cm="1">
        <f t="array" aca="1" ref="E211" ca="1">SUM(COUNTIFS(INDIRECT("'[" &amp; $B$1 &amp; ".xlsm]data'!$H$2:$H" &amp; (COUNTA(INDIRECT("'[" &amp; $B$1 &amp; ".xlsm]data'!$H:$H")))), $A211, INDIRECT("'[" &amp; $B$1 &amp; ".xlsm]data'!$P$2:$P" &amp; (COUNTA(INDIRECT("'[" &amp; $B$1 &amp; ".xlsm]data'!$P:$P")))), {1,2,3,3.1,3.2,4,4.1,4.2,4.3,4.4,4.5,5,6,7,8,8.4,9}))</f>
        <v>#REF!</v>
      </c>
      <c r="F211" s="10" t="e">
        <f t="shared" ca="1" si="17"/>
        <v>#REF!</v>
      </c>
      <c r="G211" s="10" t="e">
        <f t="shared" ca="1" si="21"/>
        <v>#REF!</v>
      </c>
      <c r="H211" s="15"/>
      <c r="I211" s="11" t="e">
        <f t="shared" ca="1" si="18"/>
        <v>#REF!</v>
      </c>
    </row>
    <row r="212" spans="1:9" x14ac:dyDescent="0.25">
      <c r="A212" t="s">
        <v>194</v>
      </c>
      <c r="B212" s="10" t="e">
        <f t="shared" ca="1" si="19"/>
        <v>#REF!</v>
      </c>
      <c r="C212" s="13" t="e">
        <f t="shared" ca="1" si="20"/>
        <v>#REF!</v>
      </c>
      <c r="D212" s="11" t="e">
        <f t="shared" ca="1" si="20"/>
        <v>#REF!</v>
      </c>
      <c r="E212" s="10" t="e" cm="1">
        <f t="array" aca="1" ref="E212" ca="1">SUM(COUNTIFS(INDIRECT("'[" &amp; $B$1 &amp; ".xlsm]data'!$H$2:$H" &amp; (COUNTA(INDIRECT("'[" &amp; $B$1 &amp; ".xlsm]data'!$H:$H")))), $A212, INDIRECT("'[" &amp; $B$1 &amp; ".xlsm]data'!$P$2:$P" &amp; (COUNTA(INDIRECT("'[" &amp; $B$1 &amp; ".xlsm]data'!$P:$P")))), {1,2,3,3.1,3.2,4,4.1,4.2,4.3,4.4,4.5,5,6,7,8,8.4,9}))</f>
        <v>#REF!</v>
      </c>
      <c r="F212" s="10" t="e">
        <f t="shared" ca="1" si="17"/>
        <v>#REF!</v>
      </c>
      <c r="G212" s="10" t="e">
        <f t="shared" ca="1" si="21"/>
        <v>#REF!</v>
      </c>
      <c r="H212" s="15"/>
      <c r="I212" s="11" t="e">
        <f t="shared" ca="1" si="18"/>
        <v>#REF!</v>
      </c>
    </row>
    <row r="213" spans="1:9" x14ac:dyDescent="0.25">
      <c r="A213" t="s">
        <v>195</v>
      </c>
      <c r="B213" s="10" t="e">
        <f t="shared" ca="1" si="19"/>
        <v>#REF!</v>
      </c>
      <c r="C213" s="13" t="e">
        <f t="shared" ca="1" si="20"/>
        <v>#REF!</v>
      </c>
      <c r="D213" s="11" t="e">
        <f t="shared" ca="1" si="20"/>
        <v>#REF!</v>
      </c>
      <c r="E213" s="10" t="e" cm="1">
        <f t="array" aca="1" ref="E213" ca="1">SUM(COUNTIFS(INDIRECT("'[" &amp; $B$1 &amp; ".xlsm]data'!$H$2:$H" &amp; (COUNTA(INDIRECT("'[" &amp; $B$1 &amp; ".xlsm]data'!$H:$H")))), $A213, INDIRECT("'[" &amp; $B$1 &amp; ".xlsm]data'!$P$2:$P" &amp; (COUNTA(INDIRECT("'[" &amp; $B$1 &amp; ".xlsm]data'!$P:$P")))), {1,2,3,3.1,3.2,4,4.1,4.2,4.3,4.4,4.5,5,6,7,8,8.4,9}))</f>
        <v>#REF!</v>
      </c>
      <c r="F213" s="10" t="e">
        <f t="shared" ca="1" si="17"/>
        <v>#REF!</v>
      </c>
      <c r="G213" s="10" t="e">
        <f t="shared" ca="1" si="21"/>
        <v>#REF!</v>
      </c>
      <c r="H213" s="15"/>
      <c r="I213" s="11" t="e">
        <f t="shared" ca="1" si="18"/>
        <v>#REF!</v>
      </c>
    </row>
    <row r="214" spans="1:9" x14ac:dyDescent="0.25">
      <c r="A214" t="s">
        <v>196</v>
      </c>
      <c r="B214" s="10" t="e">
        <f t="shared" ca="1" si="19"/>
        <v>#REF!</v>
      </c>
      <c r="C214" s="13" t="e">
        <f t="shared" ca="1" si="20"/>
        <v>#REF!</v>
      </c>
      <c r="D214" s="11" t="e">
        <f t="shared" ca="1" si="20"/>
        <v>#REF!</v>
      </c>
      <c r="E214" s="10" t="e" cm="1">
        <f t="array" aca="1" ref="E214" ca="1">SUM(COUNTIFS(INDIRECT("'[" &amp; $B$1 &amp; ".xlsm]data'!$H$2:$H" &amp; (COUNTA(INDIRECT("'[" &amp; $B$1 &amp; ".xlsm]data'!$H:$H")))), $A214, INDIRECT("'[" &amp; $B$1 &amp; ".xlsm]data'!$P$2:$P" &amp; (COUNTA(INDIRECT("'[" &amp; $B$1 &amp; ".xlsm]data'!$P:$P")))), {1,2,3,3.1,3.2,4,4.1,4.2,4.3,4.4,4.5,5,6,7,8,8.4,9}))</f>
        <v>#REF!</v>
      </c>
      <c r="F214" s="10" t="e">
        <f t="shared" ca="1" si="17"/>
        <v>#REF!</v>
      </c>
      <c r="G214" s="10" t="e">
        <f t="shared" ca="1" si="21"/>
        <v>#REF!</v>
      </c>
      <c r="H214" s="15"/>
      <c r="I214" s="11" t="e">
        <f t="shared" ca="1" si="18"/>
        <v>#REF!</v>
      </c>
    </row>
    <row r="215" spans="1:9" x14ac:dyDescent="0.25">
      <c r="A215" t="s">
        <v>197</v>
      </c>
      <c r="B215" s="10" t="e">
        <f t="shared" ca="1" si="19"/>
        <v>#REF!</v>
      </c>
      <c r="C215" s="13" t="e">
        <f t="shared" ca="1" si="20"/>
        <v>#REF!</v>
      </c>
      <c r="D215" s="11" t="e">
        <f t="shared" ca="1" si="20"/>
        <v>#REF!</v>
      </c>
      <c r="E215" s="10" t="e" cm="1">
        <f t="array" aca="1" ref="E215" ca="1">SUM(COUNTIFS(INDIRECT("'[" &amp; $B$1 &amp; ".xlsm]data'!$H$2:$H" &amp; (COUNTA(INDIRECT("'[" &amp; $B$1 &amp; ".xlsm]data'!$H:$H")))), $A215, INDIRECT("'[" &amp; $B$1 &amp; ".xlsm]data'!$P$2:$P" &amp; (COUNTA(INDIRECT("'[" &amp; $B$1 &amp; ".xlsm]data'!$P:$P")))), {1,2,3,3.1,3.2,4,4.1,4.2,4.3,4.4,4.5,5,6,7,8,8.4,9}))</f>
        <v>#REF!</v>
      </c>
      <c r="F215" s="10" t="e">
        <f t="shared" ca="1" si="17"/>
        <v>#REF!</v>
      </c>
      <c r="G215" s="10" t="e">
        <f t="shared" ca="1" si="21"/>
        <v>#REF!</v>
      </c>
      <c r="H215" s="15"/>
      <c r="I215" s="11" t="e">
        <f t="shared" ca="1" si="18"/>
        <v>#REF!</v>
      </c>
    </row>
    <row r="216" spans="1:9" x14ac:dyDescent="0.25">
      <c r="A216" t="s">
        <v>198</v>
      </c>
      <c r="B216" s="10" t="e">
        <f t="shared" ca="1" si="19"/>
        <v>#REF!</v>
      </c>
      <c r="C216" s="13" t="e">
        <f t="shared" ca="1" si="20"/>
        <v>#REF!</v>
      </c>
      <c r="D216" s="11" t="e">
        <f t="shared" ca="1" si="20"/>
        <v>#REF!</v>
      </c>
      <c r="E216" s="10" t="e" cm="1">
        <f t="array" aca="1" ref="E216" ca="1">SUM(COUNTIFS(INDIRECT("'[" &amp; $B$1 &amp; ".xlsm]data'!$H$2:$H" &amp; (COUNTA(INDIRECT("'[" &amp; $B$1 &amp; ".xlsm]data'!$H:$H")))), $A216, INDIRECT("'[" &amp; $B$1 &amp; ".xlsm]data'!$P$2:$P" &amp; (COUNTA(INDIRECT("'[" &amp; $B$1 &amp; ".xlsm]data'!$P:$P")))), {1,2,3,3.1,3.2,4,4.1,4.2,4.3,4.4,4.5,5,6,7,8,8.4,9}))</f>
        <v>#REF!</v>
      </c>
      <c r="F216" s="10" t="e">
        <f t="shared" ca="1" si="17"/>
        <v>#REF!</v>
      </c>
      <c r="G216" s="10" t="e">
        <f t="shared" ca="1" si="21"/>
        <v>#REF!</v>
      </c>
      <c r="H216" s="15"/>
      <c r="I216" s="11" t="e">
        <f t="shared" ca="1" si="18"/>
        <v>#REF!</v>
      </c>
    </row>
    <row r="217" spans="1:9" x14ac:dyDescent="0.25">
      <c r="A217" t="s">
        <v>199</v>
      </c>
      <c r="B217" s="10" t="e">
        <f t="shared" ca="1" si="19"/>
        <v>#REF!</v>
      </c>
      <c r="C217" s="13" t="e">
        <f t="shared" ca="1" si="20"/>
        <v>#REF!</v>
      </c>
      <c r="D217" s="11" t="e">
        <f t="shared" ca="1" si="20"/>
        <v>#REF!</v>
      </c>
      <c r="E217" s="10" t="e" cm="1">
        <f t="array" aca="1" ref="E217" ca="1">SUM(COUNTIFS(INDIRECT("'[" &amp; $B$1 &amp; ".xlsm]data'!$H$2:$H" &amp; (COUNTA(INDIRECT("'[" &amp; $B$1 &amp; ".xlsm]data'!$H:$H")))), $A217, INDIRECT("'[" &amp; $B$1 &amp; ".xlsm]data'!$P$2:$P" &amp; (COUNTA(INDIRECT("'[" &amp; $B$1 &amp; ".xlsm]data'!$P:$P")))), {1,2,3,3.1,3.2,4,4.1,4.2,4.3,4.4,4.5,5,6,7,8,8.4,9}))</f>
        <v>#REF!</v>
      </c>
      <c r="F217" s="10" t="e">
        <f t="shared" ca="1" si="17"/>
        <v>#REF!</v>
      </c>
      <c r="G217" s="10" t="e">
        <f t="shared" ca="1" si="21"/>
        <v>#REF!</v>
      </c>
      <c r="H217" s="15"/>
      <c r="I217" s="11" t="e">
        <f t="shared" ca="1" si="18"/>
        <v>#REF!</v>
      </c>
    </row>
    <row r="218" spans="1:9" x14ac:dyDescent="0.25">
      <c r="A218" t="s">
        <v>200</v>
      </c>
      <c r="B218" s="10" t="e">
        <f t="shared" ca="1" si="19"/>
        <v>#REF!</v>
      </c>
      <c r="C218" s="13" t="e">
        <f t="shared" ca="1" si="20"/>
        <v>#REF!</v>
      </c>
      <c r="D218" s="11" t="e">
        <f t="shared" ca="1" si="20"/>
        <v>#REF!</v>
      </c>
      <c r="E218" s="10" t="e" cm="1">
        <f t="array" aca="1" ref="E218" ca="1">SUM(COUNTIFS(INDIRECT("'[" &amp; $B$1 &amp; ".xlsm]data'!$H$2:$H" &amp; (COUNTA(INDIRECT("'[" &amp; $B$1 &amp; ".xlsm]data'!$H:$H")))), $A218, INDIRECT("'[" &amp; $B$1 &amp; ".xlsm]data'!$P$2:$P" &amp; (COUNTA(INDIRECT("'[" &amp; $B$1 &amp; ".xlsm]data'!$P:$P")))), {1,2,3,3.1,3.2,4,4.1,4.2,4.3,4.4,4.5,5,6,7,8,8.4,9}))</f>
        <v>#REF!</v>
      </c>
      <c r="F218" s="10" t="e">
        <f t="shared" ca="1" si="17"/>
        <v>#REF!</v>
      </c>
      <c r="G218" s="10" t="e">
        <f t="shared" ca="1" si="21"/>
        <v>#REF!</v>
      </c>
      <c r="H218" s="15"/>
      <c r="I218" s="11" t="e">
        <f t="shared" ca="1" si="18"/>
        <v>#REF!</v>
      </c>
    </row>
    <row r="219" spans="1:9" x14ac:dyDescent="0.25">
      <c r="A219" t="s">
        <v>201</v>
      </c>
      <c r="B219" s="10" t="e">
        <f t="shared" ca="1" si="19"/>
        <v>#REF!</v>
      </c>
      <c r="C219" s="13" t="e">
        <f t="shared" ca="1" si="20"/>
        <v>#REF!</v>
      </c>
      <c r="D219" s="11" t="e">
        <f t="shared" ca="1" si="20"/>
        <v>#REF!</v>
      </c>
      <c r="E219" s="10" t="e" cm="1">
        <f t="array" aca="1" ref="E219" ca="1">SUM(COUNTIFS(INDIRECT("'[" &amp; $B$1 &amp; ".xlsm]data'!$H$2:$H" &amp; (COUNTA(INDIRECT("'[" &amp; $B$1 &amp; ".xlsm]data'!$H:$H")))), $A219, INDIRECT("'[" &amp; $B$1 &amp; ".xlsm]data'!$P$2:$P" &amp; (COUNTA(INDIRECT("'[" &amp; $B$1 &amp; ".xlsm]data'!$P:$P")))), {1,2,3,3.1,3.2,4,4.1,4.2,4.3,4.4,4.5,5,6,7,8,8.4,9}))</f>
        <v>#REF!</v>
      </c>
      <c r="F219" s="10" t="e">
        <f t="shared" ca="1" si="17"/>
        <v>#REF!</v>
      </c>
      <c r="G219" s="10" t="e">
        <f t="shared" ca="1" si="21"/>
        <v>#REF!</v>
      </c>
      <c r="H219" s="15"/>
      <c r="I219" s="11" t="e">
        <f t="shared" ca="1" si="18"/>
        <v>#REF!</v>
      </c>
    </row>
    <row r="220" spans="1:9" x14ac:dyDescent="0.25">
      <c r="A220" t="s">
        <v>202</v>
      </c>
      <c r="B220" s="10" t="e">
        <f t="shared" ca="1" si="19"/>
        <v>#REF!</v>
      </c>
      <c r="C220" s="13" t="e">
        <f t="shared" ca="1" si="20"/>
        <v>#REF!</v>
      </c>
      <c r="D220" s="11" t="e">
        <f t="shared" ca="1" si="20"/>
        <v>#REF!</v>
      </c>
      <c r="E220" s="10" t="e" cm="1">
        <f t="array" aca="1" ref="E220" ca="1">SUM(COUNTIFS(INDIRECT("'[" &amp; $B$1 &amp; ".xlsm]data'!$H$2:$H" &amp; (COUNTA(INDIRECT("'[" &amp; $B$1 &amp; ".xlsm]data'!$H:$H")))), $A220, INDIRECT("'[" &amp; $B$1 &amp; ".xlsm]data'!$P$2:$P" &amp; (COUNTA(INDIRECT("'[" &amp; $B$1 &amp; ".xlsm]data'!$P:$P")))), {1,2,3,3.1,3.2,4,4.1,4.2,4.3,4.4,4.5,5,6,7,8,8.4,9}))</f>
        <v>#REF!</v>
      </c>
      <c r="F220" s="10" t="e">
        <f t="shared" ca="1" si="17"/>
        <v>#REF!</v>
      </c>
      <c r="G220" s="10" t="e">
        <f t="shared" ca="1" si="21"/>
        <v>#REF!</v>
      </c>
      <c r="H220" s="15"/>
      <c r="I220" s="11" t="e">
        <f t="shared" ca="1" si="18"/>
        <v>#REF!</v>
      </c>
    </row>
    <row r="221" spans="1:9" x14ac:dyDescent="0.25">
      <c r="A221" t="s">
        <v>203</v>
      </c>
      <c r="B221" s="10" t="e">
        <f t="shared" ca="1" si="19"/>
        <v>#REF!</v>
      </c>
      <c r="C221" s="13" t="e">
        <f t="shared" ca="1" si="20"/>
        <v>#REF!</v>
      </c>
      <c r="D221" s="11" t="e">
        <f t="shared" ca="1" si="20"/>
        <v>#REF!</v>
      </c>
      <c r="E221" s="10" t="e" cm="1">
        <f t="array" aca="1" ref="E221" ca="1">SUM(COUNTIFS(INDIRECT("'[" &amp; $B$1 &amp; ".xlsm]data'!$H$2:$H" &amp; (COUNTA(INDIRECT("'[" &amp; $B$1 &amp; ".xlsm]data'!$H:$H")))), $A221, INDIRECT("'[" &amp; $B$1 &amp; ".xlsm]data'!$P$2:$P" &amp; (COUNTA(INDIRECT("'[" &amp; $B$1 &amp; ".xlsm]data'!$P:$P")))), {1,2,3,3.1,3.2,4,4.1,4.2,4.3,4.4,4.5,5,6,7,8,8.4,9}))</f>
        <v>#REF!</v>
      </c>
      <c r="F221" s="10" t="e">
        <f t="shared" ca="1" si="17"/>
        <v>#REF!</v>
      </c>
      <c r="G221" s="10" t="e">
        <f t="shared" ca="1" si="21"/>
        <v>#REF!</v>
      </c>
      <c r="H221" s="15"/>
      <c r="I221" s="11" t="e">
        <f t="shared" ca="1" si="18"/>
        <v>#REF!</v>
      </c>
    </row>
    <row r="222" spans="1:9" x14ac:dyDescent="0.25">
      <c r="A222" t="s">
        <v>204</v>
      </c>
      <c r="B222" s="10" t="e">
        <f t="shared" ca="1" si="19"/>
        <v>#REF!</v>
      </c>
      <c r="C222" s="13" t="e">
        <f t="shared" ca="1" si="20"/>
        <v>#REF!</v>
      </c>
      <c r="D222" s="11" t="e">
        <f t="shared" ca="1" si="20"/>
        <v>#REF!</v>
      </c>
      <c r="E222" s="10" t="e" cm="1">
        <f t="array" aca="1" ref="E222" ca="1">SUM(COUNTIFS(INDIRECT("'[" &amp; $B$1 &amp; ".xlsm]data'!$H$2:$H" &amp; (COUNTA(INDIRECT("'[" &amp; $B$1 &amp; ".xlsm]data'!$H:$H")))), $A222, INDIRECT("'[" &amp; $B$1 &amp; ".xlsm]data'!$P$2:$P" &amp; (COUNTA(INDIRECT("'[" &amp; $B$1 &amp; ".xlsm]data'!$P:$P")))), {1,2,3,3.1,3.2,4,4.1,4.2,4.3,4.4,4.5,5,6,7,8,8.4,9}))</f>
        <v>#REF!</v>
      </c>
      <c r="F222" s="10" t="e">
        <f t="shared" ca="1" si="17"/>
        <v>#REF!</v>
      </c>
      <c r="G222" s="10" t="e">
        <f t="shared" ca="1" si="21"/>
        <v>#REF!</v>
      </c>
      <c r="H222" s="15"/>
      <c r="I222" s="11" t="e">
        <f t="shared" ca="1" si="18"/>
        <v>#REF!</v>
      </c>
    </row>
    <row r="223" spans="1:9" x14ac:dyDescent="0.25">
      <c r="A223" t="s">
        <v>205</v>
      </c>
      <c r="B223" s="10" t="e">
        <f t="shared" ca="1" si="19"/>
        <v>#REF!</v>
      </c>
      <c r="C223" s="13" t="e">
        <f t="shared" ca="1" si="20"/>
        <v>#REF!</v>
      </c>
      <c r="D223" s="11" t="e">
        <f t="shared" ca="1" si="20"/>
        <v>#REF!</v>
      </c>
      <c r="E223" s="10" t="e" cm="1">
        <f t="array" aca="1" ref="E223" ca="1">SUM(COUNTIFS(INDIRECT("'[" &amp; $B$1 &amp; ".xlsm]data'!$H$2:$H" &amp; (COUNTA(INDIRECT("'[" &amp; $B$1 &amp; ".xlsm]data'!$H:$H")))), $A223, INDIRECT("'[" &amp; $B$1 &amp; ".xlsm]data'!$P$2:$P" &amp; (COUNTA(INDIRECT("'[" &amp; $B$1 &amp; ".xlsm]data'!$P:$P")))), {1,2,3,3.1,3.2,4,4.1,4.2,4.3,4.4,4.5,5,6,7,8,8.4,9}))</f>
        <v>#REF!</v>
      </c>
      <c r="F223" s="10" t="e">
        <f t="shared" ca="1" si="17"/>
        <v>#REF!</v>
      </c>
      <c r="G223" s="10" t="e">
        <f t="shared" ca="1" si="21"/>
        <v>#REF!</v>
      </c>
      <c r="H223" s="15"/>
      <c r="I223" s="11" t="e">
        <f t="shared" ca="1" si="18"/>
        <v>#REF!</v>
      </c>
    </row>
    <row r="224" spans="1:9" x14ac:dyDescent="0.25">
      <c r="A224" t="s">
        <v>206</v>
      </c>
      <c r="B224" s="10" t="e">
        <f t="shared" ca="1" si="19"/>
        <v>#REF!</v>
      </c>
      <c r="C224" s="13" t="e">
        <f t="shared" ca="1" si="20"/>
        <v>#REF!</v>
      </c>
      <c r="D224" s="11" t="e">
        <f t="shared" ca="1" si="20"/>
        <v>#REF!</v>
      </c>
      <c r="E224" s="10" t="e" cm="1">
        <f t="array" aca="1" ref="E224" ca="1">SUM(COUNTIFS(INDIRECT("'[" &amp; $B$1 &amp; ".xlsm]data'!$H$2:$H" &amp; (COUNTA(INDIRECT("'[" &amp; $B$1 &amp; ".xlsm]data'!$H:$H")))), $A224, INDIRECT("'[" &amp; $B$1 &amp; ".xlsm]data'!$P$2:$P" &amp; (COUNTA(INDIRECT("'[" &amp; $B$1 &amp; ".xlsm]data'!$P:$P")))), {1,2,3,3.1,3.2,4,4.1,4.2,4.3,4.4,4.5,5,6,7,8,8.4,9}))</f>
        <v>#REF!</v>
      </c>
      <c r="F224" s="10" t="e">
        <f t="shared" ca="1" si="17"/>
        <v>#REF!</v>
      </c>
      <c r="G224" s="10" t="e">
        <f t="shared" ca="1" si="21"/>
        <v>#REF!</v>
      </c>
      <c r="H224" s="15"/>
      <c r="I224" s="11" t="e">
        <f t="shared" ca="1" si="18"/>
        <v>#REF!</v>
      </c>
    </row>
    <row r="225" spans="1:9" x14ac:dyDescent="0.25">
      <c r="A225" t="s">
        <v>207</v>
      </c>
      <c r="B225" s="10" t="e">
        <f t="shared" ca="1" si="19"/>
        <v>#REF!</v>
      </c>
      <c r="C225" s="13" t="e">
        <f t="shared" ca="1" si="20"/>
        <v>#REF!</v>
      </c>
      <c r="D225" s="11" t="e">
        <f t="shared" ca="1" si="20"/>
        <v>#REF!</v>
      </c>
      <c r="E225" s="10" t="e" cm="1">
        <f t="array" aca="1" ref="E225" ca="1">SUM(COUNTIFS(INDIRECT("'[" &amp; $B$1 &amp; ".xlsm]data'!$H$2:$H" &amp; (COUNTA(INDIRECT("'[" &amp; $B$1 &amp; ".xlsm]data'!$H:$H")))), $A225, INDIRECT("'[" &amp; $B$1 &amp; ".xlsm]data'!$P$2:$P" &amp; (COUNTA(INDIRECT("'[" &amp; $B$1 &amp; ".xlsm]data'!$P:$P")))), {1,2,3,3.1,3.2,4,4.1,4.2,4.3,4.4,4.5,5,6,7,8,8.4,9}))</f>
        <v>#REF!</v>
      </c>
      <c r="F225" s="10" t="e">
        <f t="shared" ca="1" si="17"/>
        <v>#REF!</v>
      </c>
      <c r="G225" s="10" t="e">
        <f t="shared" ca="1" si="21"/>
        <v>#REF!</v>
      </c>
      <c r="H225" s="15"/>
      <c r="I225" s="11" t="e">
        <f t="shared" ca="1" si="18"/>
        <v>#REF!</v>
      </c>
    </row>
    <row r="226" spans="1:9" x14ac:dyDescent="0.25">
      <c r="A226" t="s">
        <v>208</v>
      </c>
      <c r="B226" s="10" t="e">
        <f t="shared" ca="1" si="19"/>
        <v>#REF!</v>
      </c>
      <c r="C226" s="13" t="e">
        <f t="shared" ca="1" si="20"/>
        <v>#REF!</v>
      </c>
      <c r="D226" s="11" t="e">
        <f t="shared" ca="1" si="20"/>
        <v>#REF!</v>
      </c>
      <c r="E226" s="10" t="e" cm="1">
        <f t="array" aca="1" ref="E226" ca="1">SUM(COUNTIFS(INDIRECT("'[" &amp; $B$1 &amp; ".xlsm]data'!$H$2:$H" &amp; (COUNTA(INDIRECT("'[" &amp; $B$1 &amp; ".xlsm]data'!$H:$H")))), $A226, INDIRECT("'[" &amp; $B$1 &amp; ".xlsm]data'!$P$2:$P" &amp; (COUNTA(INDIRECT("'[" &amp; $B$1 &amp; ".xlsm]data'!$P:$P")))), {1,2,3,3.1,3.2,4,4.1,4.2,4.3,4.4,4.5,5,6,7,8,8.4,9}))</f>
        <v>#REF!</v>
      </c>
      <c r="F226" s="10" t="e">
        <f t="shared" ca="1" si="17"/>
        <v>#REF!</v>
      </c>
      <c r="G226" s="10" t="e">
        <f t="shared" ca="1" si="21"/>
        <v>#REF!</v>
      </c>
      <c r="H226" s="15"/>
      <c r="I226" s="11" t="e">
        <f t="shared" ca="1" si="18"/>
        <v>#REF!</v>
      </c>
    </row>
    <row r="227" spans="1:9" x14ac:dyDescent="0.25">
      <c r="A227" t="s">
        <v>209</v>
      </c>
      <c r="B227" s="10" t="e">
        <f t="shared" ca="1" si="19"/>
        <v>#REF!</v>
      </c>
      <c r="C227" s="13" t="e">
        <f t="shared" ca="1" si="20"/>
        <v>#REF!</v>
      </c>
      <c r="D227" s="11" t="e">
        <f t="shared" ca="1" si="20"/>
        <v>#REF!</v>
      </c>
      <c r="E227" s="10" t="e" cm="1">
        <f t="array" aca="1" ref="E227" ca="1">SUM(COUNTIFS(INDIRECT("'[" &amp; $B$1 &amp; ".xlsm]data'!$H$2:$H" &amp; (COUNTA(INDIRECT("'[" &amp; $B$1 &amp; ".xlsm]data'!$H:$H")))), $A227, INDIRECT("'[" &amp; $B$1 &amp; ".xlsm]data'!$P$2:$P" &amp; (COUNTA(INDIRECT("'[" &amp; $B$1 &amp; ".xlsm]data'!$P:$P")))), {1,2,3,3.1,3.2,4,4.1,4.2,4.3,4.4,4.5,5,6,7,8,8.4,9}))</f>
        <v>#REF!</v>
      </c>
      <c r="F227" s="10" t="e">
        <f t="shared" ca="1" si="17"/>
        <v>#REF!</v>
      </c>
      <c r="G227" s="10" t="e">
        <f t="shared" ca="1" si="21"/>
        <v>#REF!</v>
      </c>
      <c r="H227" s="15"/>
      <c r="I227" s="11" t="e">
        <f t="shared" ca="1" si="18"/>
        <v>#REF!</v>
      </c>
    </row>
    <row r="228" spans="1:9" x14ac:dyDescent="0.25">
      <c r="A228" t="s">
        <v>210</v>
      </c>
      <c r="B228" s="10" t="e">
        <f t="shared" ca="1" si="19"/>
        <v>#REF!</v>
      </c>
      <c r="C228" s="13" t="e">
        <f t="shared" ca="1" si="20"/>
        <v>#REF!</v>
      </c>
      <c r="D228" s="11" t="e">
        <f t="shared" ca="1" si="20"/>
        <v>#REF!</v>
      </c>
      <c r="E228" s="10" t="e" cm="1">
        <f t="array" aca="1" ref="E228" ca="1">SUM(COUNTIFS(INDIRECT("'[" &amp; $B$1 &amp; ".xlsm]data'!$H$2:$H" &amp; (COUNTA(INDIRECT("'[" &amp; $B$1 &amp; ".xlsm]data'!$H:$H")))), $A228, INDIRECT("'[" &amp; $B$1 &amp; ".xlsm]data'!$P$2:$P" &amp; (COUNTA(INDIRECT("'[" &amp; $B$1 &amp; ".xlsm]data'!$P:$P")))), {1,2,3,3.1,3.2,4,4.1,4.2,4.3,4.4,4.5,5,6,7,8,8.4,9}))</f>
        <v>#REF!</v>
      </c>
      <c r="F228" s="10" t="e">
        <f t="shared" ca="1" si="17"/>
        <v>#REF!</v>
      </c>
      <c r="G228" s="10" t="e">
        <f t="shared" ca="1" si="21"/>
        <v>#REF!</v>
      </c>
      <c r="H228" s="15"/>
      <c r="I228" s="11" t="e">
        <f t="shared" ca="1" si="18"/>
        <v>#REF!</v>
      </c>
    </row>
    <row r="229" spans="1:9" x14ac:dyDescent="0.25">
      <c r="A229" t="s">
        <v>211</v>
      </c>
      <c r="B229" s="10" t="e">
        <f t="shared" ca="1" si="19"/>
        <v>#REF!</v>
      </c>
      <c r="C229" s="13" t="e">
        <f t="shared" ca="1" si="20"/>
        <v>#REF!</v>
      </c>
      <c r="D229" s="11" t="e">
        <f t="shared" ca="1" si="20"/>
        <v>#REF!</v>
      </c>
      <c r="E229" s="10" t="e" cm="1">
        <f t="array" aca="1" ref="E229" ca="1">SUM(COUNTIFS(INDIRECT("'[" &amp; $B$1 &amp; ".xlsm]data'!$H$2:$H" &amp; (COUNTA(INDIRECT("'[" &amp; $B$1 &amp; ".xlsm]data'!$H:$H")))), $A229, INDIRECT("'[" &amp; $B$1 &amp; ".xlsm]data'!$P$2:$P" &amp; (COUNTA(INDIRECT("'[" &amp; $B$1 &amp; ".xlsm]data'!$P:$P")))), {1,2,3,3.1,3.2,4,4.1,4.2,4.3,4.4,4.5,5,6,7,8,8.4,9}))</f>
        <v>#REF!</v>
      </c>
      <c r="F229" s="10" t="e">
        <f t="shared" ca="1" si="17"/>
        <v>#REF!</v>
      </c>
      <c r="G229" s="10" t="e">
        <f t="shared" ca="1" si="21"/>
        <v>#REF!</v>
      </c>
      <c r="H229" s="15"/>
      <c r="I229" s="11" t="e">
        <f t="shared" ca="1" si="18"/>
        <v>#REF!</v>
      </c>
    </row>
    <row r="230" spans="1:9" x14ac:dyDescent="0.25">
      <c r="A230" t="s">
        <v>212</v>
      </c>
      <c r="B230" s="10" t="e">
        <f t="shared" ca="1" si="19"/>
        <v>#REF!</v>
      </c>
      <c r="C230" s="13" t="e">
        <f t="shared" ca="1" si="20"/>
        <v>#REF!</v>
      </c>
      <c r="D230" s="11" t="e">
        <f t="shared" ca="1" si="20"/>
        <v>#REF!</v>
      </c>
      <c r="E230" s="10" t="e" cm="1">
        <f t="array" aca="1" ref="E230" ca="1">SUM(COUNTIFS(INDIRECT("'[" &amp; $B$1 &amp; ".xlsm]data'!$H$2:$H" &amp; (COUNTA(INDIRECT("'[" &amp; $B$1 &amp; ".xlsm]data'!$H:$H")))), $A230, INDIRECT("'[" &amp; $B$1 &amp; ".xlsm]data'!$P$2:$P" &amp; (COUNTA(INDIRECT("'[" &amp; $B$1 &amp; ".xlsm]data'!$P:$P")))), {1,2,3,3.1,3.2,4,4.1,4.2,4.3,4.4,4.5,5,6,7,8,8.4,9}))</f>
        <v>#REF!</v>
      </c>
      <c r="F230" s="10" t="e">
        <f t="shared" ca="1" si="17"/>
        <v>#REF!</v>
      </c>
      <c r="G230" s="10" t="e">
        <f t="shared" ca="1" si="21"/>
        <v>#REF!</v>
      </c>
      <c r="H230" s="15"/>
      <c r="I230" s="11" t="e">
        <f t="shared" ca="1" si="18"/>
        <v>#REF!</v>
      </c>
    </row>
    <row r="231" spans="1:9" x14ac:dyDescent="0.25">
      <c r="A231" t="s">
        <v>213</v>
      </c>
      <c r="B231" s="10" t="e">
        <f t="shared" ca="1" si="19"/>
        <v>#REF!</v>
      </c>
      <c r="C231" s="13" t="e">
        <f t="shared" ca="1" si="20"/>
        <v>#REF!</v>
      </c>
      <c r="D231" s="11" t="e">
        <f t="shared" ca="1" si="20"/>
        <v>#REF!</v>
      </c>
      <c r="E231" s="10" t="e" cm="1">
        <f t="array" aca="1" ref="E231" ca="1">SUM(COUNTIFS(INDIRECT("'[" &amp; $B$1 &amp; ".xlsm]data'!$H$2:$H" &amp; (COUNTA(INDIRECT("'[" &amp; $B$1 &amp; ".xlsm]data'!$H:$H")))), $A231, INDIRECT("'[" &amp; $B$1 &amp; ".xlsm]data'!$P$2:$P" &amp; (COUNTA(INDIRECT("'[" &amp; $B$1 &amp; ".xlsm]data'!$P:$P")))), {1,2,3,3.1,3.2,4,4.1,4.2,4.3,4.4,4.5,5,6,7,8,8.4,9}))</f>
        <v>#REF!</v>
      </c>
      <c r="F231" s="10" t="e">
        <f t="shared" ca="1" si="17"/>
        <v>#REF!</v>
      </c>
      <c r="G231" s="10" t="e">
        <f t="shared" ca="1" si="21"/>
        <v>#REF!</v>
      </c>
      <c r="H231" s="15"/>
      <c r="I231" s="11" t="e">
        <f t="shared" ca="1" si="18"/>
        <v>#REF!</v>
      </c>
    </row>
    <row r="232" spans="1:9" x14ac:dyDescent="0.25">
      <c r="A232" t="s">
        <v>214</v>
      </c>
      <c r="B232" s="10" t="e">
        <f t="shared" ca="1" si="19"/>
        <v>#REF!</v>
      </c>
      <c r="C232" s="13" t="e">
        <f t="shared" ca="1" si="20"/>
        <v>#REF!</v>
      </c>
      <c r="D232" s="11" t="e">
        <f t="shared" ca="1" si="20"/>
        <v>#REF!</v>
      </c>
      <c r="E232" s="10" t="e" cm="1">
        <f t="array" aca="1" ref="E232" ca="1">SUM(COUNTIFS(INDIRECT("'[" &amp; $B$1 &amp; ".xlsm]data'!$H$2:$H" &amp; (COUNTA(INDIRECT("'[" &amp; $B$1 &amp; ".xlsm]data'!$H:$H")))), $A232, INDIRECT("'[" &amp; $B$1 &amp; ".xlsm]data'!$P$2:$P" &amp; (COUNTA(INDIRECT("'[" &amp; $B$1 &amp; ".xlsm]data'!$P:$P")))), {1,2,3,3.1,3.2,4,4.1,4.2,4.3,4.4,4.5,5,6,7,8,8.4,9}))</f>
        <v>#REF!</v>
      </c>
      <c r="F232" s="10" t="e">
        <f t="shared" ca="1" si="17"/>
        <v>#REF!</v>
      </c>
      <c r="G232" s="10" t="e">
        <f t="shared" ca="1" si="21"/>
        <v>#REF!</v>
      </c>
      <c r="H232" s="16"/>
      <c r="I232" s="11" t="e">
        <f t="shared" ca="1" si="18"/>
        <v>#REF!</v>
      </c>
    </row>
    <row r="233" spans="1:9" x14ac:dyDescent="0.25">
      <c r="A233" t="s">
        <v>242</v>
      </c>
      <c r="B233" s="10" t="e">
        <f t="shared" ca="1" si="19"/>
        <v>#REF!</v>
      </c>
      <c r="C233" s="13" t="e">
        <f t="shared" ca="1" si="20"/>
        <v>#REF!</v>
      </c>
      <c r="D233" s="11" t="e">
        <f t="shared" ca="1" si="20"/>
        <v>#REF!</v>
      </c>
      <c r="E233" s="10" t="e" cm="1">
        <f t="array" aca="1" ref="E233" ca="1">SUM(COUNTIFS(INDIRECT("'[" &amp; $B$1 &amp; ".xlsm]data'!$H$2:$H" &amp; (COUNTA(INDIRECT("'[" &amp; $B$1 &amp; ".xlsm]data'!$H:$H")))), $A233, INDIRECT("'[" &amp; $B$1 &amp; ".xlsm]data'!$P$2:$P" &amp; (COUNTA(INDIRECT("'[" &amp; $B$1 &amp; ".xlsm]data'!$P:$P")))), {1,2,3,3.1,3.2,4,4.1,4.2,4.3,4.4,4.5,5,6,7,8,8.4,9}))</f>
        <v>#REF!</v>
      </c>
      <c r="F233" s="10" t="e">
        <f t="shared" ca="1" si="17"/>
        <v>#REF!</v>
      </c>
      <c r="G233" s="10" t="e">
        <f t="shared" ca="1" si="21"/>
        <v>#REF!</v>
      </c>
      <c r="H233" s="16"/>
      <c r="I233" s="11" t="e">
        <f t="shared" ca="1" si="18"/>
        <v>#REF!</v>
      </c>
    </row>
    <row r="234" spans="1:9" x14ac:dyDescent="0.25">
      <c r="A234" t="s">
        <v>215</v>
      </c>
      <c r="B234" s="10" t="e">
        <f t="shared" ca="1" si="19"/>
        <v>#REF!</v>
      </c>
      <c r="C234" s="13" t="e">
        <f t="shared" ca="1" si="20"/>
        <v>#REF!</v>
      </c>
      <c r="D234" s="11" t="e">
        <f t="shared" ca="1" si="20"/>
        <v>#REF!</v>
      </c>
      <c r="E234" s="10" t="e" cm="1">
        <f t="array" aca="1" ref="E234" ca="1">SUM(COUNTIFS(INDIRECT("'[" &amp; $B$1 &amp; ".xlsm]data'!$H$2:$H" &amp; (COUNTA(INDIRECT("'[" &amp; $B$1 &amp; ".xlsm]data'!$H:$H")))), $A234, INDIRECT("'[" &amp; $B$1 &amp; ".xlsm]data'!$P$2:$P" &amp; (COUNTA(INDIRECT("'[" &amp; $B$1 &amp; ".xlsm]data'!$P:$P")))), {1,2,3,3.1,3.2,4,4.1,4.2,4.3,4.4,4.5,5,6,7,8,8.4,9}))</f>
        <v>#REF!</v>
      </c>
      <c r="F234" s="10" t="e">
        <f t="shared" ca="1" si="17"/>
        <v>#REF!</v>
      </c>
      <c r="G234" s="10" t="e">
        <f t="shared" ca="1" si="21"/>
        <v>#REF!</v>
      </c>
      <c r="H234" s="16"/>
      <c r="I234" s="11" t="e">
        <f t="shared" ca="1" si="18"/>
        <v>#REF!</v>
      </c>
    </row>
    <row r="235" spans="1:9" x14ac:dyDescent="0.25">
      <c r="A235" t="s">
        <v>216</v>
      </c>
      <c r="B235" s="10" t="e">
        <f t="shared" ca="1" si="19"/>
        <v>#REF!</v>
      </c>
      <c r="C235" s="13" t="e">
        <f t="shared" ca="1" si="20"/>
        <v>#REF!</v>
      </c>
      <c r="D235" s="11" t="e">
        <f t="shared" ca="1" si="20"/>
        <v>#REF!</v>
      </c>
      <c r="E235" s="10" t="e" cm="1">
        <f t="array" aca="1" ref="E235" ca="1">SUM(COUNTIFS(INDIRECT("'[" &amp; $B$1 &amp; ".xlsm]data'!$H$2:$H" &amp; (COUNTA(INDIRECT("'[" &amp; $B$1 &amp; ".xlsm]data'!$H:$H")))), $A235, INDIRECT("'[" &amp; $B$1 &amp; ".xlsm]data'!$P$2:$P" &amp; (COUNTA(INDIRECT("'[" &amp; $B$1 &amp; ".xlsm]data'!$P:$P")))), {1,2,3,3.1,3.2,4,4.1,4.2,4.3,4.4,4.5,5,6,7,8,8.4,9}))</f>
        <v>#REF!</v>
      </c>
      <c r="F235" s="10" t="e">
        <f t="shared" ca="1" si="17"/>
        <v>#REF!</v>
      </c>
      <c r="G235" s="10" t="e">
        <f t="shared" ca="1" si="21"/>
        <v>#REF!</v>
      </c>
      <c r="H235" s="16"/>
      <c r="I235" s="11" t="e">
        <f t="shared" ca="1" si="18"/>
        <v>#REF!</v>
      </c>
    </row>
    <row r="236" spans="1:9" x14ac:dyDescent="0.25">
      <c r="A236" t="s">
        <v>217</v>
      </c>
      <c r="B236" s="10" t="e">
        <f t="shared" ca="1" si="19"/>
        <v>#REF!</v>
      </c>
      <c r="C236" s="13" t="e">
        <f t="shared" ca="1" si="20"/>
        <v>#REF!</v>
      </c>
      <c r="D236" s="11" t="e">
        <f t="shared" ca="1" si="20"/>
        <v>#REF!</v>
      </c>
      <c r="E236" s="10" t="e" cm="1">
        <f t="array" aca="1" ref="E236" ca="1">SUM(COUNTIFS(INDIRECT("'[" &amp; $B$1 &amp; ".xlsm]data'!$H$2:$H" &amp; (COUNTA(INDIRECT("'[" &amp; $B$1 &amp; ".xlsm]data'!$H:$H")))), $A236, INDIRECT("'[" &amp; $B$1 &amp; ".xlsm]data'!$P$2:$P" &amp; (COUNTA(INDIRECT("'[" &amp; $B$1 &amp; ".xlsm]data'!$P:$P")))), {1,2,3,3.1,3.2,4,4.1,4.2,4.3,4.4,4.5,5,6,7,8,8.4,9}))</f>
        <v>#REF!</v>
      </c>
      <c r="F236" s="10" t="e">
        <f t="shared" ca="1" si="17"/>
        <v>#REF!</v>
      </c>
      <c r="G236" s="10" t="e">
        <f t="shared" ca="1" si="21"/>
        <v>#REF!</v>
      </c>
      <c r="H236" s="16"/>
      <c r="I236" s="11" t="e">
        <f t="shared" ca="1" si="18"/>
        <v>#REF!</v>
      </c>
    </row>
    <row r="237" spans="1:9" x14ac:dyDescent="0.25">
      <c r="A237" t="s">
        <v>218</v>
      </c>
      <c r="B237" s="10" t="e">
        <f t="shared" ca="1" si="19"/>
        <v>#REF!</v>
      </c>
      <c r="C237" s="13" t="e">
        <f t="shared" ca="1" si="20"/>
        <v>#REF!</v>
      </c>
      <c r="D237" s="11" t="e">
        <f t="shared" ca="1" si="20"/>
        <v>#REF!</v>
      </c>
      <c r="E237" s="10" t="e" cm="1">
        <f t="array" aca="1" ref="E237" ca="1">SUM(COUNTIFS(INDIRECT("'[" &amp; $B$1 &amp; ".xlsm]data'!$H$2:$H" &amp; (COUNTA(INDIRECT("'[" &amp; $B$1 &amp; ".xlsm]data'!$H:$H")))), $A237, INDIRECT("'[" &amp; $B$1 &amp; ".xlsm]data'!$P$2:$P" &amp; (COUNTA(INDIRECT("'[" &amp; $B$1 &amp; ".xlsm]data'!$P:$P")))), {1,2,3,3.1,3.2,4,4.1,4.2,4.3,4.4,4.5,5,6,7,8,8.4,9}))</f>
        <v>#REF!</v>
      </c>
      <c r="F237" s="10" t="e">
        <f t="shared" ca="1" si="17"/>
        <v>#REF!</v>
      </c>
      <c r="G237" s="10" t="e">
        <f t="shared" ca="1" si="21"/>
        <v>#REF!</v>
      </c>
      <c r="H237" s="16"/>
      <c r="I237" s="11" t="e">
        <f t="shared" ref="I237:I242" ca="1" si="22">IF(B237&lt;&gt;G237, "no", "yes")</f>
        <v>#REF!</v>
      </c>
    </row>
    <row r="238" spans="1:9" x14ac:dyDescent="0.25">
      <c r="A238" t="s">
        <v>219</v>
      </c>
      <c r="B238" s="10" t="e">
        <f t="shared" ca="1" si="19"/>
        <v>#REF!</v>
      </c>
      <c r="C238" s="13" t="e">
        <f t="shared" ca="1" si="20"/>
        <v>#REF!</v>
      </c>
      <c r="D238" s="11" t="e">
        <f t="shared" ca="1" si="20"/>
        <v>#REF!</v>
      </c>
      <c r="E238" s="10" t="e" cm="1">
        <f t="array" aca="1" ref="E238" ca="1">SUM(COUNTIFS(INDIRECT("'[" &amp; $B$1 &amp; ".xlsm]data'!$H$2:$H" &amp; (COUNTA(INDIRECT("'[" &amp; $B$1 &amp; ".xlsm]data'!$H:$H")))), $A238, INDIRECT("'[" &amp; $B$1 &amp; ".xlsm]data'!$P$2:$P" &amp; (COUNTA(INDIRECT("'[" &amp; $B$1 &amp; ".xlsm]data'!$P:$P")))), {1,2,3,3.1,3.2,4,4.1,4.2,4.3,4.4,4.5,5,6,7,8,8.4,9}))</f>
        <v>#REF!</v>
      </c>
      <c r="F238" s="10" t="e">
        <f t="shared" ca="1" si="17"/>
        <v>#REF!</v>
      </c>
      <c r="G238" s="10" t="e">
        <f t="shared" ca="1" si="21"/>
        <v>#REF!</v>
      </c>
      <c r="H238" s="16"/>
      <c r="I238" s="11" t="e">
        <f t="shared" ca="1" si="22"/>
        <v>#REF!</v>
      </c>
    </row>
    <row r="239" spans="1:9" x14ac:dyDescent="0.25">
      <c r="A239" t="s">
        <v>220</v>
      </c>
      <c r="B239" s="10" t="e">
        <f t="shared" ca="1" si="19"/>
        <v>#REF!</v>
      </c>
      <c r="C239" s="13" t="e">
        <f t="shared" ca="1" si="20"/>
        <v>#REF!</v>
      </c>
      <c r="D239" s="11" t="e">
        <f t="shared" ca="1" si="20"/>
        <v>#REF!</v>
      </c>
      <c r="E239" s="10" t="e" cm="1">
        <f t="array" aca="1" ref="E239" ca="1">SUM(COUNTIFS(INDIRECT("'[" &amp; $B$1 &amp; ".xlsm]data'!$H$2:$H" &amp; (COUNTA(INDIRECT("'[" &amp; $B$1 &amp; ".xlsm]data'!$H:$H")))), $A239, INDIRECT("'[" &amp; $B$1 &amp; ".xlsm]data'!$P$2:$P" &amp; (COUNTA(INDIRECT("'[" &amp; $B$1 &amp; ".xlsm]data'!$P:$P")))), {1,2,3,3.1,3.2,4,4.1,4.2,4.3,4.4,4.5,5,6,7,8,8.4,9}))</f>
        <v>#REF!</v>
      </c>
      <c r="F239" s="10" t="e">
        <f t="shared" ca="1" si="17"/>
        <v>#REF!</v>
      </c>
      <c r="G239" s="10" t="e">
        <f t="shared" ca="1" si="21"/>
        <v>#REF!</v>
      </c>
      <c r="H239" s="16"/>
      <c r="I239" s="11" t="e">
        <f t="shared" ca="1" si="22"/>
        <v>#REF!</v>
      </c>
    </row>
    <row r="240" spans="1:9" x14ac:dyDescent="0.25">
      <c r="A240" t="s">
        <v>247</v>
      </c>
      <c r="B240" s="10" t="e">
        <f t="shared" ca="1" si="19"/>
        <v>#REF!</v>
      </c>
      <c r="C240" s="13" t="e">
        <f t="shared" ca="1" si="20"/>
        <v>#REF!</v>
      </c>
      <c r="D240" s="11" t="e">
        <f t="shared" ca="1" si="20"/>
        <v>#REF!</v>
      </c>
      <c r="E240" s="10" t="e" cm="1">
        <f t="array" aca="1" ref="E240" ca="1">SUM(COUNTIFS(INDIRECT("'[" &amp; $B$1 &amp; ".xlsm]data'!$H$2:$H" &amp; (COUNTA(INDIRECT("'[" &amp; $B$1 &amp; ".xlsm]data'!$H:$H")))), $A240, INDIRECT("'[" &amp; $B$1 &amp; ".xlsm]data'!$P$2:$P" &amp; (COUNTA(INDIRECT("'[" &amp; $B$1 &amp; ".xlsm]data'!$P:$P")))), {1,2,3,3.1,3.2,4,4.1,4.2,4.3,4.4,4.5,5,6,7,8,8.4,9}))</f>
        <v>#REF!</v>
      </c>
      <c r="F240" s="10" t="e">
        <f t="shared" ca="1" si="17"/>
        <v>#REF!</v>
      </c>
      <c r="G240" s="10" t="e">
        <f t="shared" ca="1" si="21"/>
        <v>#REF!</v>
      </c>
      <c r="H240" s="16"/>
      <c r="I240" s="11" t="e">
        <f t="shared" ca="1" si="22"/>
        <v>#REF!</v>
      </c>
    </row>
    <row r="241" spans="1:9" ht="15" customHeight="1" x14ac:dyDescent="0.25">
      <c r="A241" t="s">
        <v>221</v>
      </c>
      <c r="B241" s="10" t="e">
        <f t="shared" ca="1" si="19"/>
        <v>#REF!</v>
      </c>
      <c r="C241" s="13" t="e">
        <f t="shared" ca="1" si="20"/>
        <v>#REF!</v>
      </c>
      <c r="D241" s="11" t="e">
        <f t="shared" ca="1" si="20"/>
        <v>#REF!</v>
      </c>
      <c r="E241" s="10" t="e" cm="1">
        <f t="array" aca="1" ref="E241" ca="1">SUM(COUNTIFS(INDIRECT("'[" &amp; $B$1 &amp; ".xlsm]data'!$H$2:$H" &amp; (COUNTA(INDIRECT("'[" &amp; $B$1 &amp; ".xlsm]data'!$H:$H")))), $A241, INDIRECT("'[" &amp; $B$1 &amp; ".xlsm]data'!$P$2:$P" &amp; (COUNTA(INDIRECT("'[" &amp; $B$1 &amp; ".xlsm]data'!$P:$P")))), {1,2,3,3.1,3.2,4,4.1,4.2,4.3,4.4,4.5,5,6,7,8,8.4,9}))</f>
        <v>#REF!</v>
      </c>
      <c r="F241" s="10" t="e">
        <f t="shared" ca="1" si="17"/>
        <v>#REF!</v>
      </c>
      <c r="G241" s="10" t="e">
        <f t="shared" ca="1" si="21"/>
        <v>#REF!</v>
      </c>
      <c r="H241" s="16"/>
      <c r="I241" s="11" t="e">
        <f t="shared" ca="1" si="22"/>
        <v>#REF!</v>
      </c>
    </row>
    <row r="242" spans="1:9" x14ac:dyDescent="0.25">
      <c r="A242" t="s">
        <v>222</v>
      </c>
      <c r="B242" s="10" t="e">
        <f t="shared" ca="1" si="19"/>
        <v>#REF!</v>
      </c>
      <c r="C242" s="13" t="e">
        <f t="shared" ca="1" si="20"/>
        <v>#REF!</v>
      </c>
      <c r="D242" s="11" t="e">
        <f t="shared" ca="1" si="20"/>
        <v>#REF!</v>
      </c>
      <c r="E242" s="10" t="e" cm="1">
        <f t="array" aca="1" ref="E242" ca="1">SUM(COUNTIFS(INDIRECT("'[" &amp; $B$1 &amp; ".xlsm]data'!$H$2:$H" &amp; (COUNTA(INDIRECT("'[" &amp; $B$1 &amp; ".xlsm]data'!$H:$H")))), $A242, INDIRECT("'[" &amp; $B$1 &amp; ".xlsm]data'!$P$2:$P" &amp; (COUNTA(INDIRECT("'[" &amp; $B$1 &amp; ".xlsm]data'!$P:$P")))), {1,2,3,3.1,3.2,4,4.1,4.2,4.3,4.4,4.5,5,6,7,8,8.4,9}))</f>
        <v>#REF!</v>
      </c>
      <c r="F242" s="10" t="e">
        <f t="shared" ca="1" si="17"/>
        <v>#REF!</v>
      </c>
      <c r="G242" s="10" t="e">
        <f t="shared" ca="1" si="21"/>
        <v>#REF!</v>
      </c>
      <c r="H242" s="16"/>
      <c r="I242" s="11" t="e">
        <f t="shared" ca="1" si="22"/>
        <v>#REF!</v>
      </c>
    </row>
    <row r="243" spans="1:9" x14ac:dyDescent="0.25">
      <c r="A243" t="s">
        <v>223</v>
      </c>
      <c r="B243" s="10" t="e">
        <f t="shared" ca="1" si="19"/>
        <v>#REF!</v>
      </c>
      <c r="C243" s="13" t="e">
        <f t="shared" ca="1" si="20"/>
        <v>#REF!</v>
      </c>
      <c r="D243" s="11" t="e">
        <f t="shared" ca="1" si="20"/>
        <v>#REF!</v>
      </c>
      <c r="E243" s="10" t="e" cm="1">
        <f t="array" aca="1" ref="E243" ca="1">SUM(COUNTIFS(INDIRECT("'[" &amp; $B$1 &amp; ".xlsm]data'!$H$2:$H" &amp; (COUNTA(INDIRECT("'[" &amp; $B$1 &amp; ".xlsm]data'!$H:$H")))), $A243, INDIRECT("'[" &amp; $B$1 &amp; ".xlsm]data'!$P$2:$P" &amp; (COUNTA(INDIRECT("'[" &amp; $B$1 &amp; ".xlsm]data'!$P:$P")))), {1,2,3,3.1,3.2,4,4.1,4.2,4.3,4.4,4.5,5,6,7,8,8.4,9}))</f>
        <v>#REF!</v>
      </c>
      <c r="F243" s="10" t="e">
        <f t="shared" ca="1" si="17"/>
        <v>#REF!</v>
      </c>
    </row>
    <row r="244" spans="1:9" ht="15" customHeight="1" x14ac:dyDescent="0.25"/>
    <row r="245" spans="1:9" x14ac:dyDescent="0.25">
      <c r="B245" t="e">
        <f ca="1">SUM(B10:B243)</f>
        <v>#REF!</v>
      </c>
      <c r="D245" t="e">
        <f ca="1">SUM(D10:D243)</f>
        <v>#REF!</v>
      </c>
    </row>
  </sheetData>
  <autoFilter ref="A9:I245"/>
  <sortState ref="A10:A242">
    <sortCondition ref="A10:A242"/>
  </sortState>
  <mergeCells count="2">
    <mergeCell ref="B7:D7"/>
    <mergeCell ref="G7:I7"/>
  </mergeCells>
  <conditionalFormatting sqref="A10:A242">
    <cfRule type="expression" dxfId="6" priority="1">
      <formula>$E10 = "N"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9"/>
  <sheetViews>
    <sheetView topLeftCell="A211" workbookViewId="0">
      <selection activeCell="G226" sqref="G226"/>
    </sheetView>
  </sheetViews>
  <sheetFormatPr defaultRowHeight="15" x14ac:dyDescent="0.25"/>
  <sheetData>
    <row r="1" spans="1:4" ht="28.9" x14ac:dyDescent="0.3">
      <c r="A1" s="22" t="s">
        <v>339</v>
      </c>
      <c r="B1" s="23" t="s">
        <v>340</v>
      </c>
      <c r="C1" s="24" t="s">
        <v>341</v>
      </c>
      <c r="D1" s="24" t="s">
        <v>342</v>
      </c>
    </row>
    <row r="2" spans="1:4" x14ac:dyDescent="0.25">
      <c r="A2" s="25" t="s">
        <v>2</v>
      </c>
      <c r="B2" s="26" t="s">
        <v>249</v>
      </c>
      <c r="C2" s="27" t="s">
        <v>343</v>
      </c>
      <c r="D2" s="27" t="s">
        <v>249</v>
      </c>
    </row>
    <row r="3" spans="1:4" ht="14.45" x14ac:dyDescent="0.3">
      <c r="A3" s="28" t="s">
        <v>3</v>
      </c>
      <c r="B3" s="29" t="s">
        <v>248</v>
      </c>
      <c r="C3" s="27"/>
      <c r="D3" s="27"/>
    </row>
    <row r="4" spans="1:4" ht="14.45" x14ac:dyDescent="0.3">
      <c r="A4" s="28" t="s">
        <v>4</v>
      </c>
      <c r="B4" s="29" t="s">
        <v>248</v>
      </c>
      <c r="C4" s="27"/>
      <c r="D4" s="27"/>
    </row>
    <row r="5" spans="1:4" ht="14.45" x14ac:dyDescent="0.3">
      <c r="A5" s="28" t="s">
        <v>5</v>
      </c>
      <c r="B5" s="29" t="s">
        <v>248</v>
      </c>
      <c r="C5" s="27"/>
      <c r="D5" s="27"/>
    </row>
    <row r="6" spans="1:4" ht="28.9" x14ac:dyDescent="0.3">
      <c r="A6" s="25" t="s">
        <v>6</v>
      </c>
      <c r="B6" s="26" t="s">
        <v>249</v>
      </c>
      <c r="C6" s="30" t="s">
        <v>344</v>
      </c>
      <c r="D6" s="27"/>
    </row>
    <row r="7" spans="1:4" ht="14.45" x14ac:dyDescent="0.3">
      <c r="A7" s="28" t="s">
        <v>7</v>
      </c>
      <c r="B7" s="29" t="s">
        <v>248</v>
      </c>
      <c r="C7" s="27"/>
      <c r="D7" s="27"/>
    </row>
    <row r="8" spans="1:4" ht="14.45" x14ac:dyDescent="0.3">
      <c r="A8" s="28" t="s">
        <v>8</v>
      </c>
      <c r="B8" s="29" t="s">
        <v>248</v>
      </c>
      <c r="C8" s="27"/>
      <c r="D8" s="27"/>
    </row>
    <row r="9" spans="1:4" ht="14.45" x14ac:dyDescent="0.3">
      <c r="A9" s="28" t="s">
        <v>9</v>
      </c>
      <c r="B9" s="29" t="s">
        <v>248</v>
      </c>
      <c r="C9" s="27"/>
      <c r="D9" s="27"/>
    </row>
    <row r="10" spans="1:4" ht="14.45" x14ac:dyDescent="0.3">
      <c r="A10" s="28" t="s">
        <v>10</v>
      </c>
      <c r="B10" s="29" t="s">
        <v>248</v>
      </c>
      <c r="C10" s="27"/>
      <c r="D10" s="27"/>
    </row>
    <row r="11" spans="1:4" ht="14.45" x14ac:dyDescent="0.3">
      <c r="A11" s="28" t="s">
        <v>11</v>
      </c>
      <c r="B11" s="29" t="s">
        <v>248</v>
      </c>
      <c r="C11" s="27"/>
      <c r="D11" s="27"/>
    </row>
    <row r="12" spans="1:4" ht="14.45" x14ac:dyDescent="0.3">
      <c r="A12" s="28" t="s">
        <v>12</v>
      </c>
      <c r="B12" s="29" t="s">
        <v>248</v>
      </c>
      <c r="C12" s="27"/>
      <c r="D12" s="27"/>
    </row>
    <row r="13" spans="1:4" ht="14.45" x14ac:dyDescent="0.3">
      <c r="A13" s="28" t="s">
        <v>13</v>
      </c>
      <c r="B13" s="29" t="s">
        <v>248</v>
      </c>
      <c r="C13" s="27"/>
      <c r="D13" s="27"/>
    </row>
    <row r="14" spans="1:4" ht="14.45" x14ac:dyDescent="0.3">
      <c r="A14" s="25" t="s">
        <v>14</v>
      </c>
      <c r="B14" s="26" t="s">
        <v>249</v>
      </c>
      <c r="C14" s="27" t="s">
        <v>250</v>
      </c>
      <c r="D14" s="27" t="s">
        <v>251</v>
      </c>
    </row>
    <row r="15" spans="1:4" ht="14.45" x14ac:dyDescent="0.3">
      <c r="A15" s="28" t="s">
        <v>15</v>
      </c>
      <c r="B15" s="29" t="s">
        <v>248</v>
      </c>
      <c r="C15" s="27"/>
      <c r="D15" s="27"/>
    </row>
    <row r="16" spans="1:4" ht="14.45" x14ac:dyDescent="0.3">
      <c r="A16" s="28" t="s">
        <v>16</v>
      </c>
      <c r="B16" s="29" t="s">
        <v>248</v>
      </c>
      <c r="C16" s="27"/>
      <c r="D16" s="27"/>
    </row>
    <row r="17" spans="1:4" ht="14.45" x14ac:dyDescent="0.3">
      <c r="A17" s="28" t="s">
        <v>17</v>
      </c>
      <c r="B17" s="29" t="s">
        <v>248</v>
      </c>
      <c r="C17" s="27"/>
      <c r="D17" s="27"/>
    </row>
    <row r="18" spans="1:4" ht="14.45" x14ac:dyDescent="0.3">
      <c r="A18" s="25" t="s">
        <v>18</v>
      </c>
      <c r="B18" s="26" t="s">
        <v>249</v>
      </c>
      <c r="C18" s="27" t="s">
        <v>257</v>
      </c>
      <c r="D18" s="27" t="s">
        <v>249</v>
      </c>
    </row>
    <row r="19" spans="1:4" ht="14.45" x14ac:dyDescent="0.3">
      <c r="A19" s="28" t="s">
        <v>19</v>
      </c>
      <c r="B19" s="29" t="s">
        <v>248</v>
      </c>
      <c r="C19" s="27"/>
      <c r="D19" s="27"/>
    </row>
    <row r="20" spans="1:4" ht="14.45" x14ac:dyDescent="0.3">
      <c r="A20" s="28" t="s">
        <v>20</v>
      </c>
      <c r="B20" s="29" t="s">
        <v>248</v>
      </c>
      <c r="C20" s="27"/>
      <c r="D20" s="27"/>
    </row>
    <row r="21" spans="1:4" ht="14.45" x14ac:dyDescent="0.3">
      <c r="A21" s="28" t="s">
        <v>21</v>
      </c>
      <c r="B21" s="29" t="s">
        <v>248</v>
      </c>
      <c r="C21" s="27"/>
      <c r="D21" s="27"/>
    </row>
    <row r="22" spans="1:4" ht="14.45" x14ac:dyDescent="0.3">
      <c r="A22" s="28" t="s">
        <v>22</v>
      </c>
      <c r="B22" s="29" t="s">
        <v>248</v>
      </c>
      <c r="C22" s="27"/>
      <c r="D22" s="27"/>
    </row>
    <row r="23" spans="1:4" ht="28.9" x14ac:dyDescent="0.3">
      <c r="A23" s="25" t="s">
        <v>23</v>
      </c>
      <c r="B23" s="26" t="s">
        <v>249</v>
      </c>
      <c r="C23" s="30" t="s">
        <v>344</v>
      </c>
      <c r="D23" s="27"/>
    </row>
    <row r="24" spans="1:4" ht="14.45" x14ac:dyDescent="0.3">
      <c r="A24" s="25" t="s">
        <v>24</v>
      </c>
      <c r="B24" s="26" t="s">
        <v>249</v>
      </c>
      <c r="C24" s="21" t="s">
        <v>252</v>
      </c>
      <c r="D24" s="27"/>
    </row>
    <row r="25" spans="1:4" ht="14.45" x14ac:dyDescent="0.3">
      <c r="A25" s="25" t="s">
        <v>25</v>
      </c>
      <c r="B25" s="26" t="s">
        <v>249</v>
      </c>
      <c r="C25" s="27" t="s">
        <v>253</v>
      </c>
      <c r="D25" s="27"/>
    </row>
    <row r="26" spans="1:4" ht="14.45" x14ac:dyDescent="0.3">
      <c r="A26" s="28" t="s">
        <v>26</v>
      </c>
      <c r="B26" s="29" t="s">
        <v>248</v>
      </c>
      <c r="C26" s="27"/>
      <c r="D26" s="27" t="s">
        <v>249</v>
      </c>
    </row>
    <row r="27" spans="1:4" ht="14.45" x14ac:dyDescent="0.3">
      <c r="A27" s="25" t="s">
        <v>27</v>
      </c>
      <c r="B27" s="26" t="s">
        <v>249</v>
      </c>
      <c r="C27" s="27" t="s">
        <v>254</v>
      </c>
      <c r="D27" s="27" t="s">
        <v>251</v>
      </c>
    </row>
    <row r="28" spans="1:4" ht="14.45" x14ac:dyDescent="0.3">
      <c r="A28" s="25" t="s">
        <v>28</v>
      </c>
      <c r="B28" s="26" t="s">
        <v>249</v>
      </c>
      <c r="C28" s="27" t="s">
        <v>255</v>
      </c>
      <c r="D28" s="27" t="s">
        <v>249</v>
      </c>
    </row>
    <row r="29" spans="1:4" ht="14.45" x14ac:dyDescent="0.3">
      <c r="A29" s="25" t="s">
        <v>29</v>
      </c>
      <c r="B29" s="26" t="s">
        <v>249</v>
      </c>
      <c r="C29" s="27" t="s">
        <v>267</v>
      </c>
      <c r="D29" s="27" t="s">
        <v>249</v>
      </c>
    </row>
    <row r="30" spans="1:4" ht="14.45" x14ac:dyDescent="0.3">
      <c r="A30" s="25" t="s">
        <v>30</v>
      </c>
      <c r="B30" s="26" t="s">
        <v>249</v>
      </c>
      <c r="C30" s="27" t="s">
        <v>255</v>
      </c>
      <c r="D30" s="27" t="s">
        <v>249</v>
      </c>
    </row>
    <row r="31" spans="1:4" ht="14.45" x14ac:dyDescent="0.3">
      <c r="A31" s="25" t="s">
        <v>31</v>
      </c>
      <c r="B31" s="26" t="s">
        <v>249</v>
      </c>
      <c r="C31" s="27" t="s">
        <v>254</v>
      </c>
      <c r="D31" s="27" t="s">
        <v>251</v>
      </c>
    </row>
    <row r="32" spans="1:4" ht="14.45" x14ac:dyDescent="0.3">
      <c r="A32" s="28" t="s">
        <v>32</v>
      </c>
      <c r="B32" s="29" t="s">
        <v>248</v>
      </c>
      <c r="C32" s="27"/>
      <c r="D32" s="27"/>
    </row>
    <row r="33" spans="1:4" ht="14.45" x14ac:dyDescent="0.3">
      <c r="A33" s="28" t="s">
        <v>33</v>
      </c>
      <c r="B33" s="29" t="s">
        <v>248</v>
      </c>
      <c r="C33" s="27"/>
      <c r="D33" s="27"/>
    </row>
    <row r="34" spans="1:4" ht="14.45" x14ac:dyDescent="0.3">
      <c r="A34" s="28" t="s">
        <v>34</v>
      </c>
      <c r="B34" s="29" t="s">
        <v>248</v>
      </c>
      <c r="C34" s="27"/>
      <c r="D34" s="27" t="s">
        <v>249</v>
      </c>
    </row>
    <row r="35" spans="1:4" ht="14.45" x14ac:dyDescent="0.3">
      <c r="A35" s="25" t="s">
        <v>35</v>
      </c>
      <c r="B35" s="26" t="s">
        <v>249</v>
      </c>
      <c r="C35" s="27" t="s">
        <v>256</v>
      </c>
      <c r="D35" s="27"/>
    </row>
    <row r="36" spans="1:4" ht="14.45" x14ac:dyDescent="0.3">
      <c r="A36" s="28" t="s">
        <v>36</v>
      </c>
      <c r="B36" s="29" t="s">
        <v>248</v>
      </c>
      <c r="C36" s="21"/>
      <c r="D36" s="27"/>
    </row>
    <row r="37" spans="1:4" ht="14.45" x14ac:dyDescent="0.3">
      <c r="A37" s="25" t="s">
        <v>37</v>
      </c>
      <c r="B37" s="26" t="s">
        <v>249</v>
      </c>
      <c r="C37" s="27" t="s">
        <v>256</v>
      </c>
      <c r="D37" s="27"/>
    </row>
    <row r="38" spans="1:4" ht="14.45" x14ac:dyDescent="0.3">
      <c r="A38" s="28" t="s">
        <v>38</v>
      </c>
      <c r="B38" s="29" t="s">
        <v>248</v>
      </c>
      <c r="C38" s="27"/>
      <c r="D38" s="27"/>
    </row>
    <row r="39" spans="1:4" ht="14.45" x14ac:dyDescent="0.3">
      <c r="A39" s="25" t="s">
        <v>39</v>
      </c>
      <c r="B39" s="26" t="s">
        <v>249</v>
      </c>
      <c r="C39" s="21" t="s">
        <v>257</v>
      </c>
      <c r="D39" s="27" t="s">
        <v>249</v>
      </c>
    </row>
    <row r="40" spans="1:4" ht="14.45" x14ac:dyDescent="0.3">
      <c r="A40" s="25" t="s">
        <v>40</v>
      </c>
      <c r="B40" s="26" t="s">
        <v>249</v>
      </c>
      <c r="C40" s="27" t="s">
        <v>254</v>
      </c>
      <c r="D40" s="27" t="s">
        <v>251</v>
      </c>
    </row>
    <row r="41" spans="1:4" ht="14.45" x14ac:dyDescent="0.3">
      <c r="A41" s="28" t="s">
        <v>41</v>
      </c>
      <c r="B41" s="29" t="s">
        <v>248</v>
      </c>
      <c r="C41" s="27"/>
      <c r="D41" s="27"/>
    </row>
    <row r="42" spans="1:4" ht="14.45" x14ac:dyDescent="0.3">
      <c r="A42" s="28" t="s">
        <v>42</v>
      </c>
      <c r="B42" s="29" t="s">
        <v>248</v>
      </c>
      <c r="C42" s="27"/>
      <c r="D42" s="27"/>
    </row>
    <row r="43" spans="1:4" ht="14.45" x14ac:dyDescent="0.3">
      <c r="A43" s="25" t="s">
        <v>43</v>
      </c>
      <c r="B43" s="26" t="s">
        <v>249</v>
      </c>
      <c r="C43" s="27" t="s">
        <v>259</v>
      </c>
      <c r="D43" s="27" t="s">
        <v>249</v>
      </c>
    </row>
    <row r="44" spans="1:4" ht="14.45" x14ac:dyDescent="0.3">
      <c r="A44" s="25" t="s">
        <v>44</v>
      </c>
      <c r="B44" s="26" t="s">
        <v>249</v>
      </c>
      <c r="C44" s="27" t="s">
        <v>252</v>
      </c>
      <c r="D44" s="27"/>
    </row>
    <row r="45" spans="1:4" ht="14.45" x14ac:dyDescent="0.3">
      <c r="A45" s="28" t="s">
        <v>45</v>
      </c>
      <c r="B45" s="29" t="s">
        <v>248</v>
      </c>
      <c r="C45" s="27"/>
      <c r="D45" s="27"/>
    </row>
    <row r="46" spans="1:4" ht="14.45" x14ac:dyDescent="0.3">
      <c r="A46" s="28" t="s">
        <v>46</v>
      </c>
      <c r="B46" s="29" t="s">
        <v>248</v>
      </c>
      <c r="C46" s="27"/>
      <c r="D46" s="27"/>
    </row>
    <row r="47" spans="1:4" ht="14.45" x14ac:dyDescent="0.3">
      <c r="A47" s="25" t="s">
        <v>47</v>
      </c>
      <c r="B47" s="26" t="s">
        <v>249</v>
      </c>
      <c r="C47" s="27" t="s">
        <v>260</v>
      </c>
      <c r="D47" s="27"/>
    </row>
    <row r="48" spans="1:4" ht="14.45" x14ac:dyDescent="0.3">
      <c r="A48" s="28" t="s">
        <v>48</v>
      </c>
      <c r="B48" s="29" t="s">
        <v>248</v>
      </c>
      <c r="C48" s="27"/>
      <c r="D48" s="27"/>
    </row>
    <row r="49" spans="1:4" ht="14.45" x14ac:dyDescent="0.3">
      <c r="A49" s="28" t="s">
        <v>49</v>
      </c>
      <c r="B49" s="29" t="s">
        <v>248</v>
      </c>
      <c r="C49" s="27"/>
      <c r="D49" s="27"/>
    </row>
    <row r="50" spans="1:4" ht="14.45" x14ac:dyDescent="0.3">
      <c r="A50" s="28" t="s">
        <v>50</v>
      </c>
      <c r="B50" s="29" t="s">
        <v>248</v>
      </c>
      <c r="C50" s="27"/>
      <c r="D50" s="27"/>
    </row>
    <row r="51" spans="1:4" ht="14.45" x14ac:dyDescent="0.3">
      <c r="A51" s="25" t="s">
        <v>51</v>
      </c>
      <c r="B51" s="26" t="s">
        <v>249</v>
      </c>
      <c r="C51" s="27" t="s">
        <v>255</v>
      </c>
      <c r="D51" s="27" t="s">
        <v>249</v>
      </c>
    </row>
    <row r="52" spans="1:4" ht="14.45" x14ac:dyDescent="0.3">
      <c r="A52" s="25" t="s">
        <v>52</v>
      </c>
      <c r="B52" s="26" t="s">
        <v>249</v>
      </c>
      <c r="C52" s="27" t="s">
        <v>261</v>
      </c>
      <c r="D52" s="27" t="s">
        <v>249</v>
      </c>
    </row>
    <row r="53" spans="1:4" ht="14.45" x14ac:dyDescent="0.3">
      <c r="A53" s="28" t="s">
        <v>53</v>
      </c>
      <c r="B53" s="29" t="s">
        <v>248</v>
      </c>
      <c r="C53" s="27"/>
      <c r="D53" s="27"/>
    </row>
    <row r="54" spans="1:4" ht="14.45" x14ac:dyDescent="0.3">
      <c r="A54" s="28" t="s">
        <v>54</v>
      </c>
      <c r="B54" s="29" t="s">
        <v>248</v>
      </c>
      <c r="C54" s="27"/>
      <c r="D54" s="27"/>
    </row>
    <row r="55" spans="1:4" ht="14.45" x14ac:dyDescent="0.3">
      <c r="A55" s="28" t="s">
        <v>55</v>
      </c>
      <c r="B55" s="29" t="s">
        <v>248</v>
      </c>
      <c r="C55" s="27"/>
      <c r="D55" s="27"/>
    </row>
    <row r="56" spans="1:4" ht="14.45" x14ac:dyDescent="0.3">
      <c r="A56" s="28" t="s">
        <v>56</v>
      </c>
      <c r="B56" s="29" t="s">
        <v>248</v>
      </c>
      <c r="C56" s="27"/>
      <c r="D56" s="27"/>
    </row>
    <row r="57" spans="1:4" ht="14.45" x14ac:dyDescent="0.3">
      <c r="A57" s="25" t="s">
        <v>57</v>
      </c>
      <c r="B57" s="26" t="s">
        <v>249</v>
      </c>
      <c r="C57" s="27" t="s">
        <v>260</v>
      </c>
      <c r="D57" s="27"/>
    </row>
    <row r="58" spans="1:4" ht="14.45" x14ac:dyDescent="0.3">
      <c r="A58" s="28" t="s">
        <v>58</v>
      </c>
      <c r="B58" s="29" t="s">
        <v>248</v>
      </c>
      <c r="C58" s="27"/>
      <c r="D58" s="27"/>
    </row>
    <row r="59" spans="1:4" ht="14.45" x14ac:dyDescent="0.3">
      <c r="A59" s="28" t="s">
        <v>59</v>
      </c>
      <c r="B59" s="29" t="s">
        <v>248</v>
      </c>
      <c r="C59" s="21"/>
      <c r="D59" s="27"/>
    </row>
    <row r="60" spans="1:4" ht="14.45" x14ac:dyDescent="0.3">
      <c r="A60" s="28" t="s">
        <v>60</v>
      </c>
      <c r="B60" s="29" t="s">
        <v>248</v>
      </c>
      <c r="C60" s="27"/>
      <c r="D60" s="27"/>
    </row>
    <row r="61" spans="1:4" ht="14.45" x14ac:dyDescent="0.3">
      <c r="A61" s="28" t="s">
        <v>61</v>
      </c>
      <c r="B61" s="29" t="s">
        <v>248</v>
      </c>
      <c r="C61" s="27"/>
      <c r="D61" s="27"/>
    </row>
    <row r="62" spans="1:4" ht="14.45" x14ac:dyDescent="0.3">
      <c r="A62" s="25" t="s">
        <v>62</v>
      </c>
      <c r="B62" s="26" t="s">
        <v>249</v>
      </c>
      <c r="C62" s="27" t="s">
        <v>261</v>
      </c>
      <c r="D62" s="27" t="s">
        <v>249</v>
      </c>
    </row>
    <row r="63" spans="1:4" ht="14.45" x14ac:dyDescent="0.3">
      <c r="A63" s="25" t="s">
        <v>63</v>
      </c>
      <c r="B63" s="26" t="s">
        <v>249</v>
      </c>
      <c r="C63" s="27" t="s">
        <v>260</v>
      </c>
      <c r="D63" s="27"/>
    </row>
    <row r="64" spans="1:4" ht="14.45" x14ac:dyDescent="0.3">
      <c r="A64" s="25" t="s">
        <v>64</v>
      </c>
      <c r="B64" s="26" t="s">
        <v>249</v>
      </c>
      <c r="C64" s="27" t="s">
        <v>262</v>
      </c>
      <c r="D64" s="27" t="s">
        <v>249</v>
      </c>
    </row>
    <row r="65" spans="1:4" ht="14.45" x14ac:dyDescent="0.3">
      <c r="A65" s="28" t="s">
        <v>65</v>
      </c>
      <c r="B65" s="29" t="s">
        <v>258</v>
      </c>
      <c r="C65" s="27"/>
      <c r="D65" s="27"/>
    </row>
    <row r="66" spans="1:4" ht="14.45" x14ac:dyDescent="0.3">
      <c r="A66" s="28" t="s">
        <v>66</v>
      </c>
      <c r="B66" s="29" t="s">
        <v>248</v>
      </c>
      <c r="C66" s="27"/>
      <c r="D66" s="27"/>
    </row>
    <row r="67" spans="1:4" ht="14.45" x14ac:dyDescent="0.3">
      <c r="A67" s="28" t="s">
        <v>67</v>
      </c>
      <c r="B67" s="29" t="s">
        <v>248</v>
      </c>
      <c r="C67" s="27"/>
      <c r="D67" s="27"/>
    </row>
    <row r="68" spans="1:4" ht="14.45" x14ac:dyDescent="0.3">
      <c r="A68" s="28" t="s">
        <v>68</v>
      </c>
      <c r="B68" s="29" t="s">
        <v>248</v>
      </c>
      <c r="C68" s="27"/>
      <c r="D68" s="27"/>
    </row>
    <row r="69" spans="1:4" ht="14.45" x14ac:dyDescent="0.3">
      <c r="A69" s="25" t="s">
        <v>69</v>
      </c>
      <c r="B69" s="26" t="s">
        <v>249</v>
      </c>
      <c r="C69" s="27" t="s">
        <v>260</v>
      </c>
      <c r="D69" s="27"/>
    </row>
    <row r="70" spans="1:4" ht="14.45" x14ac:dyDescent="0.3">
      <c r="A70" s="25" t="s">
        <v>70</v>
      </c>
      <c r="B70" s="26" t="s">
        <v>249</v>
      </c>
      <c r="C70" s="27" t="s">
        <v>254</v>
      </c>
      <c r="D70" s="27" t="s">
        <v>251</v>
      </c>
    </row>
    <row r="71" spans="1:4" ht="14.45" x14ac:dyDescent="0.3">
      <c r="A71" s="25" t="s">
        <v>240</v>
      </c>
      <c r="B71" s="26" t="s">
        <v>251</v>
      </c>
      <c r="C71" s="27" t="s">
        <v>254</v>
      </c>
      <c r="D71" s="27" t="s">
        <v>251</v>
      </c>
    </row>
    <row r="72" spans="1:4" ht="14.45" x14ac:dyDescent="0.3">
      <c r="A72" s="25" t="s">
        <v>71</v>
      </c>
      <c r="B72" s="26" t="s">
        <v>249</v>
      </c>
      <c r="C72" s="21" t="s">
        <v>263</v>
      </c>
      <c r="D72" s="21" t="s">
        <v>249</v>
      </c>
    </row>
    <row r="73" spans="1:4" ht="14.45" x14ac:dyDescent="0.3">
      <c r="A73" s="25" t="s">
        <v>72</v>
      </c>
      <c r="B73" s="26" t="s">
        <v>249</v>
      </c>
      <c r="C73" s="21" t="s">
        <v>262</v>
      </c>
      <c r="D73" s="21" t="s">
        <v>249</v>
      </c>
    </row>
    <row r="74" spans="1:4" ht="14.45" x14ac:dyDescent="0.3">
      <c r="A74" s="28" t="s">
        <v>73</v>
      </c>
      <c r="B74" s="29" t="s">
        <v>248</v>
      </c>
      <c r="C74" s="27"/>
      <c r="D74" s="27"/>
    </row>
    <row r="75" spans="1:4" ht="14.45" x14ac:dyDescent="0.3">
      <c r="A75" s="28" t="s">
        <v>74</v>
      </c>
      <c r="B75" s="29" t="s">
        <v>248</v>
      </c>
      <c r="C75" s="27"/>
      <c r="D75" s="27"/>
    </row>
    <row r="76" spans="1:4" ht="14.45" x14ac:dyDescent="0.3">
      <c r="A76" s="28" t="s">
        <v>75</v>
      </c>
      <c r="B76" s="29" t="s">
        <v>248</v>
      </c>
      <c r="C76" s="27"/>
      <c r="D76" s="27"/>
    </row>
    <row r="77" spans="1:4" ht="14.45" x14ac:dyDescent="0.3">
      <c r="A77" s="28" t="s">
        <v>76</v>
      </c>
      <c r="B77" s="29" t="s">
        <v>248</v>
      </c>
      <c r="C77" s="27"/>
      <c r="D77" s="27"/>
    </row>
    <row r="78" spans="1:4" ht="14.45" x14ac:dyDescent="0.3">
      <c r="A78" s="28" t="s">
        <v>77</v>
      </c>
      <c r="B78" s="29" t="s">
        <v>248</v>
      </c>
      <c r="C78" s="27"/>
      <c r="D78" s="27"/>
    </row>
    <row r="79" spans="1:4" ht="14.45" x14ac:dyDescent="0.3">
      <c r="A79" s="28" t="s">
        <v>78</v>
      </c>
      <c r="B79" s="29" t="s">
        <v>248</v>
      </c>
      <c r="C79" s="27"/>
      <c r="D79" s="27"/>
    </row>
    <row r="80" spans="1:4" ht="14.45" x14ac:dyDescent="0.3">
      <c r="A80" s="25" t="s">
        <v>79</v>
      </c>
      <c r="B80" s="26" t="s">
        <v>249</v>
      </c>
      <c r="C80" s="27" t="s">
        <v>250</v>
      </c>
      <c r="D80" s="27" t="s">
        <v>249</v>
      </c>
    </row>
    <row r="81" spans="1:4" ht="14.45" x14ac:dyDescent="0.3">
      <c r="A81" s="28" t="s">
        <v>80</v>
      </c>
      <c r="B81" s="29" t="s">
        <v>248</v>
      </c>
      <c r="C81" s="27"/>
      <c r="D81" s="27"/>
    </row>
    <row r="82" spans="1:4" ht="14.45" x14ac:dyDescent="0.3">
      <c r="A82" s="25" t="s">
        <v>81</v>
      </c>
      <c r="B82" s="26" t="s">
        <v>249</v>
      </c>
      <c r="C82" s="27" t="s">
        <v>254</v>
      </c>
      <c r="D82" s="27" t="s">
        <v>251</v>
      </c>
    </row>
    <row r="83" spans="1:4" ht="14.45" x14ac:dyDescent="0.3">
      <c r="A83" s="28" t="s">
        <v>82</v>
      </c>
      <c r="B83" s="29" t="s">
        <v>248</v>
      </c>
      <c r="C83" s="27"/>
      <c r="D83" s="27"/>
    </row>
    <row r="84" spans="1:4" ht="14.45" x14ac:dyDescent="0.3">
      <c r="A84" s="28" t="s">
        <v>83</v>
      </c>
      <c r="B84" s="29" t="s">
        <v>248</v>
      </c>
      <c r="C84" s="27"/>
      <c r="D84" s="27"/>
    </row>
    <row r="85" spans="1:4" ht="14.45" x14ac:dyDescent="0.3">
      <c r="A85" s="28" t="s">
        <v>84</v>
      </c>
      <c r="B85" s="29" t="s">
        <v>248</v>
      </c>
      <c r="C85" s="27"/>
      <c r="D85" s="27"/>
    </row>
    <row r="86" spans="1:4" ht="14.45" x14ac:dyDescent="0.3">
      <c r="A86" s="28" t="s">
        <v>85</v>
      </c>
      <c r="B86" s="29" t="s">
        <v>248</v>
      </c>
      <c r="C86" s="27"/>
      <c r="D86" s="27"/>
    </row>
    <row r="87" spans="1:4" ht="14.45" x14ac:dyDescent="0.3">
      <c r="A87" s="28" t="s">
        <v>86</v>
      </c>
      <c r="B87" s="29" t="s">
        <v>248</v>
      </c>
      <c r="C87" s="27"/>
      <c r="D87" s="27"/>
    </row>
    <row r="88" spans="1:4" ht="14.45" x14ac:dyDescent="0.3">
      <c r="A88" s="25" t="s">
        <v>87</v>
      </c>
      <c r="B88" s="26" t="s">
        <v>249</v>
      </c>
      <c r="C88" s="27" t="s">
        <v>264</v>
      </c>
      <c r="D88" s="27"/>
    </row>
    <row r="89" spans="1:4" ht="14.45" x14ac:dyDescent="0.3">
      <c r="A89" s="25" t="s">
        <v>88</v>
      </c>
      <c r="B89" s="26" t="s">
        <v>249</v>
      </c>
      <c r="C89" s="27" t="s">
        <v>254</v>
      </c>
      <c r="D89" s="27" t="s">
        <v>249</v>
      </c>
    </row>
    <row r="90" spans="1:4" ht="14.45" x14ac:dyDescent="0.3">
      <c r="A90" s="28" t="s">
        <v>89</v>
      </c>
      <c r="B90" s="29" t="s">
        <v>248</v>
      </c>
      <c r="C90" s="27"/>
      <c r="D90" s="27"/>
    </row>
    <row r="91" spans="1:4" ht="14.45" x14ac:dyDescent="0.3">
      <c r="A91" s="28" t="s">
        <v>90</v>
      </c>
      <c r="B91" s="29" t="s">
        <v>248</v>
      </c>
      <c r="C91" s="27"/>
      <c r="D91" s="27"/>
    </row>
    <row r="92" spans="1:4" ht="14.45" x14ac:dyDescent="0.3">
      <c r="A92" s="25" t="s">
        <v>91</v>
      </c>
      <c r="B92" s="26" t="s">
        <v>249</v>
      </c>
      <c r="C92" s="27" t="s">
        <v>255</v>
      </c>
      <c r="D92" s="27" t="s">
        <v>249</v>
      </c>
    </row>
    <row r="93" spans="1:4" ht="28.9" x14ac:dyDescent="0.3">
      <c r="A93" s="25" t="s">
        <v>92</v>
      </c>
      <c r="B93" s="26" t="s">
        <v>249</v>
      </c>
      <c r="C93" s="30" t="s">
        <v>344</v>
      </c>
      <c r="D93" s="27"/>
    </row>
    <row r="94" spans="1:4" ht="14.45" x14ac:dyDescent="0.3">
      <c r="A94" s="28" t="s">
        <v>93</v>
      </c>
      <c r="B94" s="29" t="s">
        <v>248</v>
      </c>
      <c r="C94" s="21"/>
      <c r="D94" s="27"/>
    </row>
    <row r="95" spans="1:4" ht="14.45" x14ac:dyDescent="0.3">
      <c r="A95" s="25" t="s">
        <v>94</v>
      </c>
      <c r="B95" s="26" t="s">
        <v>249</v>
      </c>
      <c r="C95" s="27" t="s">
        <v>345</v>
      </c>
      <c r="D95" s="27" t="s">
        <v>258</v>
      </c>
    </row>
    <row r="96" spans="1:4" ht="14.45" x14ac:dyDescent="0.3">
      <c r="A96" s="28" t="s">
        <v>95</v>
      </c>
      <c r="B96" s="29" t="s">
        <v>248</v>
      </c>
      <c r="C96" s="27"/>
      <c r="D96" s="27"/>
    </row>
    <row r="97" spans="1:4" ht="14.45" x14ac:dyDescent="0.3">
      <c r="A97" s="25" t="s">
        <v>96</v>
      </c>
      <c r="B97" s="26" t="s">
        <v>249</v>
      </c>
      <c r="C97" s="27" t="s">
        <v>265</v>
      </c>
      <c r="D97" s="27"/>
    </row>
    <row r="98" spans="1:4" ht="14.45" x14ac:dyDescent="0.3">
      <c r="A98" s="28" t="s">
        <v>97</v>
      </c>
      <c r="B98" s="29" t="s">
        <v>248</v>
      </c>
      <c r="C98" s="27"/>
      <c r="D98" s="27"/>
    </row>
    <row r="99" spans="1:4" ht="14.45" x14ac:dyDescent="0.3">
      <c r="A99" s="28" t="s">
        <v>98</v>
      </c>
      <c r="B99" s="29" t="s">
        <v>248</v>
      </c>
      <c r="C99" s="27"/>
      <c r="D99" s="27"/>
    </row>
    <row r="100" spans="1:4" ht="14.45" x14ac:dyDescent="0.3">
      <c r="A100" s="28" t="s">
        <v>99</v>
      </c>
      <c r="B100" s="29" t="s">
        <v>248</v>
      </c>
      <c r="C100" s="27"/>
      <c r="D100" s="27"/>
    </row>
    <row r="101" spans="1:4" ht="14.45" x14ac:dyDescent="0.3">
      <c r="A101" s="25" t="s">
        <v>100</v>
      </c>
      <c r="B101" s="26" t="s">
        <v>249</v>
      </c>
      <c r="C101" s="27" t="s">
        <v>254</v>
      </c>
      <c r="D101" s="27" t="s">
        <v>249</v>
      </c>
    </row>
    <row r="102" spans="1:4" ht="14.45" x14ac:dyDescent="0.3">
      <c r="A102" s="25" t="s">
        <v>101</v>
      </c>
      <c r="B102" s="26" t="s">
        <v>249</v>
      </c>
      <c r="C102" s="27" t="s">
        <v>254</v>
      </c>
      <c r="D102" s="27" t="s">
        <v>249</v>
      </c>
    </row>
    <row r="103" spans="1:4" ht="14.45" x14ac:dyDescent="0.3">
      <c r="A103" s="28" t="s">
        <v>102</v>
      </c>
      <c r="B103" s="29" t="s">
        <v>248</v>
      </c>
      <c r="C103" s="27"/>
      <c r="D103" s="27"/>
    </row>
    <row r="104" spans="1:4" ht="14.45" x14ac:dyDescent="0.3">
      <c r="A104" s="25" t="s">
        <v>103</v>
      </c>
      <c r="B104" s="26" t="s">
        <v>249</v>
      </c>
      <c r="C104" s="27" t="s">
        <v>262</v>
      </c>
      <c r="D104" s="27" t="s">
        <v>249</v>
      </c>
    </row>
    <row r="105" spans="1:4" ht="14.45" x14ac:dyDescent="0.3">
      <c r="A105" s="25" t="s">
        <v>104</v>
      </c>
      <c r="B105" s="26" t="s">
        <v>249</v>
      </c>
      <c r="C105" s="27" t="s">
        <v>262</v>
      </c>
      <c r="D105" s="27" t="s">
        <v>249</v>
      </c>
    </row>
    <row r="106" spans="1:4" ht="14.45" x14ac:dyDescent="0.3">
      <c r="A106" s="28" t="s">
        <v>105</v>
      </c>
      <c r="B106" s="29" t="s">
        <v>248</v>
      </c>
      <c r="C106" s="27"/>
      <c r="D106" s="27"/>
    </row>
    <row r="107" spans="1:4" ht="14.45" x14ac:dyDescent="0.3">
      <c r="A107" s="25" t="s">
        <v>106</v>
      </c>
      <c r="B107" s="26" t="s">
        <v>249</v>
      </c>
      <c r="C107" s="27" t="s">
        <v>254</v>
      </c>
      <c r="D107" s="27" t="s">
        <v>249</v>
      </c>
    </row>
    <row r="108" spans="1:4" ht="14.45" x14ac:dyDescent="0.3">
      <c r="A108" s="25" t="s">
        <v>107</v>
      </c>
      <c r="B108" s="26" t="s">
        <v>249</v>
      </c>
      <c r="C108" s="27" t="s">
        <v>266</v>
      </c>
      <c r="D108" s="27"/>
    </row>
    <row r="109" spans="1:4" ht="14.45" x14ac:dyDescent="0.3">
      <c r="A109" s="28" t="s">
        <v>108</v>
      </c>
      <c r="B109" s="29" t="s">
        <v>248</v>
      </c>
      <c r="C109" s="27"/>
      <c r="D109" s="27"/>
    </row>
    <row r="110" spans="1:4" ht="14.45" x14ac:dyDescent="0.3">
      <c r="A110" s="28" t="s">
        <v>109</v>
      </c>
      <c r="B110" s="29" t="s">
        <v>248</v>
      </c>
      <c r="C110" s="27"/>
      <c r="D110" s="27"/>
    </row>
    <row r="111" spans="1:4" ht="14.45" x14ac:dyDescent="0.3">
      <c r="A111" s="28" t="s">
        <v>110</v>
      </c>
      <c r="B111" s="29" t="s">
        <v>248</v>
      </c>
      <c r="C111" s="27"/>
      <c r="D111" s="27"/>
    </row>
    <row r="112" spans="1:4" x14ac:dyDescent="0.25">
      <c r="A112" s="25" t="s">
        <v>111</v>
      </c>
      <c r="B112" s="26" t="s">
        <v>249</v>
      </c>
      <c r="C112" s="27" t="s">
        <v>343</v>
      </c>
      <c r="D112" s="27" t="s">
        <v>249</v>
      </c>
    </row>
    <row r="113" spans="1:4" ht="14.45" x14ac:dyDescent="0.3">
      <c r="A113" s="28" t="s">
        <v>112</v>
      </c>
      <c r="B113" s="29" t="s">
        <v>248</v>
      </c>
      <c r="C113" s="27"/>
      <c r="D113" s="27" t="s">
        <v>249</v>
      </c>
    </row>
    <row r="114" spans="1:4" ht="14.45" x14ac:dyDescent="0.3">
      <c r="A114" s="28" t="s">
        <v>113</v>
      </c>
      <c r="B114" s="29" t="s">
        <v>248</v>
      </c>
      <c r="C114" s="27"/>
      <c r="D114" s="27"/>
    </row>
    <row r="115" spans="1:4" ht="14.45" x14ac:dyDescent="0.3">
      <c r="A115" s="25" t="s">
        <v>114</v>
      </c>
      <c r="B115" s="26" t="s">
        <v>249</v>
      </c>
      <c r="C115" s="27" t="s">
        <v>267</v>
      </c>
      <c r="D115" s="27" t="s">
        <v>249</v>
      </c>
    </row>
    <row r="116" spans="1:4" ht="14.45" x14ac:dyDescent="0.3">
      <c r="A116" s="25" t="s">
        <v>115</v>
      </c>
      <c r="B116" s="26" t="s">
        <v>249</v>
      </c>
      <c r="C116" s="27" t="s">
        <v>268</v>
      </c>
      <c r="D116" s="27"/>
    </row>
    <row r="117" spans="1:4" ht="14.45" x14ac:dyDescent="0.3">
      <c r="A117" s="28" t="s">
        <v>116</v>
      </c>
      <c r="B117" s="29" t="s">
        <v>248</v>
      </c>
      <c r="C117" s="27"/>
      <c r="D117" s="27" t="s">
        <v>249</v>
      </c>
    </row>
    <row r="118" spans="1:4" ht="14.45" x14ac:dyDescent="0.3">
      <c r="A118" s="28" t="s">
        <v>117</v>
      </c>
      <c r="B118" s="29" t="s">
        <v>248</v>
      </c>
      <c r="C118" s="27"/>
      <c r="D118" s="27" t="s">
        <v>249</v>
      </c>
    </row>
    <row r="119" spans="1:4" ht="14.45" x14ac:dyDescent="0.3">
      <c r="A119" s="25" t="s">
        <v>118</v>
      </c>
      <c r="B119" s="26" t="s">
        <v>249</v>
      </c>
      <c r="C119" s="27"/>
      <c r="D119" s="27" t="s">
        <v>249</v>
      </c>
    </row>
    <row r="120" spans="1:4" ht="14.45" x14ac:dyDescent="0.3">
      <c r="A120" s="28" t="s">
        <v>119</v>
      </c>
      <c r="B120" s="29" t="s">
        <v>248</v>
      </c>
      <c r="C120" s="27"/>
      <c r="D120" s="27"/>
    </row>
    <row r="121" spans="1:4" ht="14.45" x14ac:dyDescent="0.3">
      <c r="A121" s="28" t="s">
        <v>120</v>
      </c>
      <c r="B121" s="29" t="s">
        <v>248</v>
      </c>
      <c r="C121" s="27"/>
      <c r="D121" s="27"/>
    </row>
    <row r="122" spans="1:4" ht="14.45" x14ac:dyDescent="0.3">
      <c r="A122" s="25" t="s">
        <v>121</v>
      </c>
      <c r="B122" s="26" t="s">
        <v>249</v>
      </c>
      <c r="C122" s="27" t="s">
        <v>269</v>
      </c>
      <c r="D122" s="27" t="s">
        <v>249</v>
      </c>
    </row>
    <row r="123" spans="1:4" ht="14.45" x14ac:dyDescent="0.3">
      <c r="A123" s="28" t="s">
        <v>122</v>
      </c>
      <c r="B123" s="29" t="s">
        <v>248</v>
      </c>
      <c r="C123" s="27"/>
      <c r="D123" s="27"/>
    </row>
    <row r="124" spans="1:4" ht="14.45" x14ac:dyDescent="0.3">
      <c r="A124" s="28" t="s">
        <v>123</v>
      </c>
      <c r="B124" s="29" t="s">
        <v>248</v>
      </c>
      <c r="C124" s="27"/>
      <c r="D124" s="27"/>
    </row>
    <row r="125" spans="1:4" ht="14.45" x14ac:dyDescent="0.3">
      <c r="A125" s="28" t="s">
        <v>124</v>
      </c>
      <c r="B125" s="29" t="s">
        <v>248</v>
      </c>
      <c r="C125" s="27"/>
      <c r="D125" s="27"/>
    </row>
    <row r="126" spans="1:4" ht="14.45" x14ac:dyDescent="0.3">
      <c r="A126" s="28" t="s">
        <v>125</v>
      </c>
      <c r="B126" s="29" t="s">
        <v>248</v>
      </c>
      <c r="C126" s="27"/>
      <c r="D126" s="27"/>
    </row>
    <row r="127" spans="1:4" ht="14.45" x14ac:dyDescent="0.3">
      <c r="A127" s="28" t="s">
        <v>126</v>
      </c>
      <c r="B127" s="29" t="s">
        <v>248</v>
      </c>
      <c r="C127" s="21"/>
      <c r="D127" s="27" t="s">
        <v>249</v>
      </c>
    </row>
    <row r="128" spans="1:4" ht="14.45" x14ac:dyDescent="0.3">
      <c r="A128" s="28" t="s">
        <v>127</v>
      </c>
      <c r="B128" s="29" t="s">
        <v>248</v>
      </c>
      <c r="C128" s="27"/>
      <c r="D128" s="27"/>
    </row>
    <row r="129" spans="1:4" ht="14.45" x14ac:dyDescent="0.3">
      <c r="A129" s="28" t="s">
        <v>128</v>
      </c>
      <c r="B129" s="29" t="s">
        <v>248</v>
      </c>
      <c r="C129" s="27"/>
      <c r="D129" s="27"/>
    </row>
    <row r="130" spans="1:4" ht="14.45" x14ac:dyDescent="0.3">
      <c r="A130" s="25" t="s">
        <v>241</v>
      </c>
      <c r="B130" s="26" t="s">
        <v>249</v>
      </c>
      <c r="C130" s="27" t="s">
        <v>254</v>
      </c>
      <c r="D130" s="27" t="s">
        <v>249</v>
      </c>
    </row>
    <row r="131" spans="1:4" ht="57.6" x14ac:dyDescent="0.3">
      <c r="A131" s="25" t="s">
        <v>129</v>
      </c>
      <c r="B131" s="26" t="s">
        <v>249</v>
      </c>
      <c r="C131" s="30" t="s">
        <v>270</v>
      </c>
      <c r="D131" s="27"/>
    </row>
    <row r="132" spans="1:4" ht="14.45" x14ac:dyDescent="0.3">
      <c r="A132" s="25" t="s">
        <v>130</v>
      </c>
      <c r="B132" s="26" t="s">
        <v>249</v>
      </c>
      <c r="C132" s="21" t="s">
        <v>271</v>
      </c>
      <c r="D132" s="27"/>
    </row>
    <row r="133" spans="1:4" ht="14.45" x14ac:dyDescent="0.3">
      <c r="A133" s="28" t="s">
        <v>131</v>
      </c>
      <c r="B133" s="29" t="s">
        <v>248</v>
      </c>
      <c r="C133" s="27"/>
      <c r="D133" s="27"/>
    </row>
    <row r="134" spans="1:4" ht="14.45" x14ac:dyDescent="0.3">
      <c r="A134" s="28" t="s">
        <v>132</v>
      </c>
      <c r="B134" s="29" t="s">
        <v>248</v>
      </c>
      <c r="C134" s="27"/>
      <c r="D134" s="27"/>
    </row>
    <row r="135" spans="1:4" ht="14.45" x14ac:dyDescent="0.3">
      <c r="A135" s="28" t="s">
        <v>133</v>
      </c>
      <c r="B135" s="29" t="s">
        <v>248</v>
      </c>
      <c r="C135" s="27"/>
      <c r="D135" s="27"/>
    </row>
    <row r="136" spans="1:4" ht="14.45" x14ac:dyDescent="0.3">
      <c r="A136" s="28" t="s">
        <v>134</v>
      </c>
      <c r="B136" s="29" t="s">
        <v>248</v>
      </c>
      <c r="C136" s="27"/>
      <c r="D136" s="27"/>
    </row>
    <row r="137" spans="1:4" ht="14.45" x14ac:dyDescent="0.3">
      <c r="A137" s="28" t="s">
        <v>135</v>
      </c>
      <c r="B137" s="29" t="s">
        <v>248</v>
      </c>
      <c r="C137" s="27"/>
      <c r="D137" s="27"/>
    </row>
    <row r="138" spans="1:4" ht="14.45" x14ac:dyDescent="0.3">
      <c r="A138" s="25" t="s">
        <v>136</v>
      </c>
      <c r="B138" s="26" t="s">
        <v>249</v>
      </c>
      <c r="C138" s="27" t="s">
        <v>254</v>
      </c>
      <c r="D138" s="27" t="s">
        <v>249</v>
      </c>
    </row>
    <row r="139" spans="1:4" ht="14.45" x14ac:dyDescent="0.3">
      <c r="A139" s="28" t="s">
        <v>137</v>
      </c>
      <c r="B139" s="29" t="s">
        <v>248</v>
      </c>
      <c r="C139" s="27"/>
      <c r="D139" s="27"/>
    </row>
    <row r="140" spans="1:4" ht="14.45" x14ac:dyDescent="0.3">
      <c r="A140" s="28" t="s">
        <v>138</v>
      </c>
      <c r="B140" s="29" t="s">
        <v>248</v>
      </c>
      <c r="C140" s="21"/>
      <c r="D140" s="21"/>
    </row>
    <row r="141" spans="1:4" ht="14.45" x14ac:dyDescent="0.3">
      <c r="A141" s="28" t="s">
        <v>139</v>
      </c>
      <c r="B141" s="29" t="s">
        <v>248</v>
      </c>
      <c r="C141" s="27"/>
      <c r="D141" s="27" t="s">
        <v>249</v>
      </c>
    </row>
    <row r="142" spans="1:4" ht="14.45" x14ac:dyDescent="0.3">
      <c r="A142" s="28" t="s">
        <v>140</v>
      </c>
      <c r="B142" s="29" t="s">
        <v>248</v>
      </c>
      <c r="C142" s="27"/>
      <c r="D142" s="27"/>
    </row>
    <row r="143" spans="1:4" ht="14.45" x14ac:dyDescent="0.3">
      <c r="A143" s="28" t="s">
        <v>141</v>
      </c>
      <c r="B143" s="29" t="s">
        <v>248</v>
      </c>
      <c r="C143" s="27"/>
      <c r="D143" s="27"/>
    </row>
    <row r="144" spans="1:4" ht="14.45" x14ac:dyDescent="0.3">
      <c r="A144" s="28" t="s">
        <v>142</v>
      </c>
      <c r="B144" s="29" t="s">
        <v>248</v>
      </c>
      <c r="C144" s="27"/>
      <c r="D144" s="27"/>
    </row>
    <row r="145" spans="1:4" ht="14.45" x14ac:dyDescent="0.3">
      <c r="A145" s="28" t="s">
        <v>143</v>
      </c>
      <c r="B145" s="29" t="s">
        <v>248</v>
      </c>
      <c r="C145" s="27"/>
      <c r="D145" s="27"/>
    </row>
    <row r="146" spans="1:4" ht="14.45" x14ac:dyDescent="0.3">
      <c r="A146" s="28" t="s">
        <v>144</v>
      </c>
      <c r="B146" s="29" t="s">
        <v>248</v>
      </c>
      <c r="C146" s="21"/>
      <c r="D146" s="21"/>
    </row>
    <row r="147" spans="1:4" ht="14.45" x14ac:dyDescent="0.3">
      <c r="A147" s="25" t="s">
        <v>145</v>
      </c>
      <c r="B147" s="26" t="s">
        <v>249</v>
      </c>
      <c r="C147" s="21" t="s">
        <v>272</v>
      </c>
      <c r="D147" s="21" t="s">
        <v>249</v>
      </c>
    </row>
    <row r="148" spans="1:4" ht="14.45" x14ac:dyDescent="0.3">
      <c r="A148" s="28" t="s">
        <v>146</v>
      </c>
      <c r="B148" s="29" t="s">
        <v>248</v>
      </c>
      <c r="C148" s="27"/>
      <c r="D148" s="27"/>
    </row>
    <row r="149" spans="1:4" ht="14.45" x14ac:dyDescent="0.3">
      <c r="A149" s="28" t="s">
        <v>147</v>
      </c>
      <c r="B149" s="29" t="s">
        <v>248</v>
      </c>
      <c r="C149" s="27"/>
      <c r="D149" s="27"/>
    </row>
    <row r="150" spans="1:4" ht="14.45" x14ac:dyDescent="0.3">
      <c r="A150" s="28" t="s">
        <v>148</v>
      </c>
      <c r="B150" s="29" t="s">
        <v>248</v>
      </c>
      <c r="C150" s="21"/>
      <c r="D150" s="27" t="s">
        <v>249</v>
      </c>
    </row>
    <row r="151" spans="1:4" ht="14.45" x14ac:dyDescent="0.3">
      <c r="A151" s="28" t="s">
        <v>149</v>
      </c>
      <c r="B151" s="29" t="s">
        <v>248</v>
      </c>
      <c r="C151" s="27"/>
      <c r="D151" s="27"/>
    </row>
    <row r="152" spans="1:4" ht="14.45" x14ac:dyDescent="0.3">
      <c r="A152" s="28" t="s">
        <v>150</v>
      </c>
      <c r="B152" s="29" t="s">
        <v>248</v>
      </c>
      <c r="C152" s="27"/>
      <c r="D152" s="27"/>
    </row>
    <row r="153" spans="1:4" ht="14.45" x14ac:dyDescent="0.3">
      <c r="A153" s="27" t="s">
        <v>235</v>
      </c>
      <c r="B153" s="29"/>
      <c r="C153" s="27"/>
      <c r="D153" s="27"/>
    </row>
    <row r="154" spans="1:4" ht="14.45" x14ac:dyDescent="0.3">
      <c r="A154" s="25" t="s">
        <v>151</v>
      </c>
      <c r="B154" s="26" t="s">
        <v>249</v>
      </c>
      <c r="C154" s="27" t="s">
        <v>273</v>
      </c>
      <c r="D154" s="27"/>
    </row>
    <row r="155" spans="1:4" ht="14.45" x14ac:dyDescent="0.3">
      <c r="A155" s="28" t="s">
        <v>152</v>
      </c>
      <c r="B155" s="29" t="s">
        <v>248</v>
      </c>
      <c r="C155" s="27"/>
      <c r="D155" s="27"/>
    </row>
    <row r="156" spans="1:4" ht="14.45" x14ac:dyDescent="0.3">
      <c r="A156" s="28" t="s">
        <v>153</v>
      </c>
      <c r="B156" s="29" t="s">
        <v>248</v>
      </c>
      <c r="C156" s="27"/>
      <c r="D156" s="27"/>
    </row>
    <row r="157" spans="1:4" ht="14.45" x14ac:dyDescent="0.3">
      <c r="A157" s="28" t="s">
        <v>154</v>
      </c>
      <c r="B157" s="29" t="s">
        <v>248</v>
      </c>
      <c r="C157" s="27"/>
      <c r="D157" s="27"/>
    </row>
    <row r="158" spans="1:4" ht="14.45" x14ac:dyDescent="0.3">
      <c r="A158" s="25" t="s">
        <v>155</v>
      </c>
      <c r="B158" s="26" t="s">
        <v>249</v>
      </c>
      <c r="C158" s="27" t="s">
        <v>267</v>
      </c>
      <c r="D158" s="27"/>
    </row>
    <row r="159" spans="1:4" ht="14.45" x14ac:dyDescent="0.3">
      <c r="A159" s="25" t="s">
        <v>156</v>
      </c>
      <c r="B159" s="26" t="s">
        <v>249</v>
      </c>
      <c r="C159" s="21" t="s">
        <v>274</v>
      </c>
      <c r="D159" s="21"/>
    </row>
    <row r="160" spans="1:4" ht="14.45" x14ac:dyDescent="0.3">
      <c r="A160" s="28" t="s">
        <v>157</v>
      </c>
      <c r="B160" s="29" t="s">
        <v>248</v>
      </c>
      <c r="C160" s="27"/>
      <c r="D160" s="27"/>
    </row>
    <row r="161" spans="1:4" ht="14.45" x14ac:dyDescent="0.3">
      <c r="A161" s="28" t="s">
        <v>158</v>
      </c>
      <c r="B161" s="29" t="s">
        <v>248</v>
      </c>
      <c r="C161" s="27"/>
      <c r="D161" s="27"/>
    </row>
    <row r="162" spans="1:4" ht="14.45" x14ac:dyDescent="0.3">
      <c r="A162" s="28" t="s">
        <v>159</v>
      </c>
      <c r="B162" s="29" t="s">
        <v>248</v>
      </c>
      <c r="C162" s="21"/>
      <c r="D162" s="21"/>
    </row>
    <row r="163" spans="1:4" ht="14.45" x14ac:dyDescent="0.3">
      <c r="A163" s="28" t="s">
        <v>160</v>
      </c>
      <c r="B163" s="29" t="s">
        <v>248</v>
      </c>
      <c r="C163" s="27"/>
      <c r="D163" s="27"/>
    </row>
    <row r="164" spans="1:4" ht="14.45" x14ac:dyDescent="0.3">
      <c r="A164" s="25" t="s">
        <v>161</v>
      </c>
      <c r="B164" s="26" t="s">
        <v>249</v>
      </c>
      <c r="C164" s="27" t="s">
        <v>275</v>
      </c>
      <c r="D164" s="27"/>
    </row>
    <row r="165" spans="1:4" ht="14.45" x14ac:dyDescent="0.3">
      <c r="A165" s="28" t="s">
        <v>162</v>
      </c>
      <c r="B165" s="29" t="s">
        <v>248</v>
      </c>
      <c r="C165" s="27"/>
      <c r="D165" s="27"/>
    </row>
    <row r="166" spans="1:4" x14ac:dyDescent="0.25">
      <c r="A166" s="25" t="s">
        <v>163</v>
      </c>
      <c r="B166" s="26" t="s">
        <v>249</v>
      </c>
      <c r="C166" s="27" t="s">
        <v>343</v>
      </c>
      <c r="D166" s="27" t="s">
        <v>249</v>
      </c>
    </row>
    <row r="167" spans="1:4" ht="14.45" x14ac:dyDescent="0.3">
      <c r="A167" s="25" t="s">
        <v>164</v>
      </c>
      <c r="B167" s="26" t="s">
        <v>249</v>
      </c>
      <c r="C167" s="21" t="s">
        <v>276</v>
      </c>
      <c r="D167" s="21"/>
    </row>
    <row r="168" spans="1:4" ht="14.45" x14ac:dyDescent="0.3">
      <c r="A168" s="28" t="s">
        <v>165</v>
      </c>
      <c r="B168" s="29" t="s">
        <v>248</v>
      </c>
      <c r="C168" s="27"/>
      <c r="D168" s="27"/>
    </row>
    <row r="169" spans="1:4" ht="14.45" x14ac:dyDescent="0.3">
      <c r="A169" s="28" t="s">
        <v>166</v>
      </c>
      <c r="B169" s="29" t="s">
        <v>248</v>
      </c>
      <c r="C169" s="27"/>
      <c r="D169" s="27"/>
    </row>
    <row r="170" spans="1:4" ht="14.45" x14ac:dyDescent="0.3">
      <c r="A170" s="28" t="s">
        <v>167</v>
      </c>
      <c r="B170" s="29" t="s">
        <v>248</v>
      </c>
      <c r="C170" s="27"/>
      <c r="D170" s="27"/>
    </row>
    <row r="171" spans="1:4" ht="14.45" x14ac:dyDescent="0.3">
      <c r="A171" s="28" t="s">
        <v>168</v>
      </c>
      <c r="B171" s="29" t="s">
        <v>248</v>
      </c>
      <c r="C171" s="27"/>
      <c r="D171" s="27"/>
    </row>
    <row r="172" spans="1:4" ht="14.45" x14ac:dyDescent="0.3">
      <c r="A172" s="28" t="s">
        <v>169</v>
      </c>
      <c r="B172" s="29" t="s">
        <v>248</v>
      </c>
      <c r="C172" s="27"/>
      <c r="D172" s="27"/>
    </row>
    <row r="173" spans="1:4" ht="14.45" x14ac:dyDescent="0.3">
      <c r="A173" s="28" t="s">
        <v>170</v>
      </c>
      <c r="B173" s="29" t="s">
        <v>248</v>
      </c>
      <c r="C173" s="27"/>
      <c r="D173" s="27" t="s">
        <v>249</v>
      </c>
    </row>
    <row r="174" spans="1:4" ht="14.45" x14ac:dyDescent="0.3">
      <c r="A174" s="25" t="s">
        <v>171</v>
      </c>
      <c r="B174" s="26" t="s">
        <v>249</v>
      </c>
      <c r="C174" s="27" t="s">
        <v>254</v>
      </c>
      <c r="D174" s="27" t="s">
        <v>249</v>
      </c>
    </row>
    <row r="175" spans="1:4" ht="14.45" x14ac:dyDescent="0.3">
      <c r="A175" s="25" t="s">
        <v>244</v>
      </c>
      <c r="B175" s="26" t="s">
        <v>249</v>
      </c>
      <c r="C175" s="27" t="s">
        <v>254</v>
      </c>
      <c r="D175" s="27" t="s">
        <v>249</v>
      </c>
    </row>
    <row r="176" spans="1:4" ht="14.45" x14ac:dyDescent="0.3">
      <c r="A176" s="25" t="s">
        <v>172</v>
      </c>
      <c r="B176" s="26" t="s">
        <v>249</v>
      </c>
      <c r="C176" s="27" t="s">
        <v>254</v>
      </c>
      <c r="D176" s="27" t="s">
        <v>249</v>
      </c>
    </row>
    <row r="177" spans="1:4" ht="14.45" x14ac:dyDescent="0.3">
      <c r="A177" s="25" t="s">
        <v>173</v>
      </c>
      <c r="B177" s="26" t="s">
        <v>249</v>
      </c>
      <c r="C177" s="27" t="s">
        <v>254</v>
      </c>
      <c r="D177" s="27" t="s">
        <v>249</v>
      </c>
    </row>
    <row r="178" spans="1:4" ht="14.45" x14ac:dyDescent="0.3">
      <c r="A178" s="25" t="s">
        <v>277</v>
      </c>
      <c r="B178" s="26" t="s">
        <v>249</v>
      </c>
      <c r="C178" s="27" t="s">
        <v>254</v>
      </c>
      <c r="D178" s="27" t="s">
        <v>249</v>
      </c>
    </row>
    <row r="179" spans="1:4" ht="14.45" x14ac:dyDescent="0.3">
      <c r="A179" s="25" t="s">
        <v>175</v>
      </c>
      <c r="B179" s="26" t="s">
        <v>249</v>
      </c>
      <c r="C179" s="27" t="s">
        <v>254</v>
      </c>
      <c r="D179" s="27" t="s">
        <v>249</v>
      </c>
    </row>
    <row r="180" spans="1:4" ht="14.45" x14ac:dyDescent="0.3">
      <c r="A180" s="28" t="s">
        <v>176</v>
      </c>
      <c r="B180" s="29" t="s">
        <v>248</v>
      </c>
      <c r="C180" s="27"/>
      <c r="D180" s="27"/>
    </row>
    <row r="181" spans="1:4" ht="14.45" x14ac:dyDescent="0.3">
      <c r="A181" s="28" t="s">
        <v>177</v>
      </c>
      <c r="B181" s="29" t="s">
        <v>248</v>
      </c>
      <c r="C181" s="27"/>
      <c r="D181" s="27"/>
    </row>
    <row r="182" spans="1:4" ht="14.45" x14ac:dyDescent="0.3">
      <c r="A182" s="28" t="s">
        <v>178</v>
      </c>
      <c r="B182" s="29" t="s">
        <v>248</v>
      </c>
      <c r="C182" s="27"/>
      <c r="D182" s="27"/>
    </row>
    <row r="183" spans="1:4" ht="14.45" x14ac:dyDescent="0.3">
      <c r="A183" s="25" t="s">
        <v>179</v>
      </c>
      <c r="B183" s="26" t="s">
        <v>249</v>
      </c>
      <c r="C183" s="21" t="s">
        <v>278</v>
      </c>
      <c r="D183" s="21" t="s">
        <v>249</v>
      </c>
    </row>
    <row r="184" spans="1:4" ht="14.45" x14ac:dyDescent="0.3">
      <c r="A184" s="28" t="s">
        <v>180</v>
      </c>
      <c r="B184" s="29" t="s">
        <v>248</v>
      </c>
      <c r="C184" s="27"/>
      <c r="D184" s="27"/>
    </row>
    <row r="185" spans="1:4" ht="14.45" x14ac:dyDescent="0.3">
      <c r="A185" s="25" t="s">
        <v>181</v>
      </c>
      <c r="B185" s="26" t="s">
        <v>249</v>
      </c>
      <c r="C185" s="27" t="s">
        <v>255</v>
      </c>
      <c r="D185" s="27" t="s">
        <v>249</v>
      </c>
    </row>
    <row r="186" spans="1:4" ht="14.45" x14ac:dyDescent="0.3">
      <c r="A186" s="28" t="s">
        <v>182</v>
      </c>
      <c r="B186" s="29" t="s">
        <v>248</v>
      </c>
      <c r="C186" s="27"/>
      <c r="D186" s="27"/>
    </row>
    <row r="187" spans="1:4" ht="14.45" x14ac:dyDescent="0.3">
      <c r="A187" s="28" t="s">
        <v>183</v>
      </c>
      <c r="B187" s="29" t="s">
        <v>248</v>
      </c>
      <c r="C187" s="27"/>
      <c r="D187" s="27"/>
    </row>
    <row r="188" spans="1:4" ht="14.45" x14ac:dyDescent="0.3">
      <c r="A188" s="25" t="s">
        <v>184</v>
      </c>
      <c r="B188" s="26" t="s">
        <v>249</v>
      </c>
      <c r="C188" s="21" t="s">
        <v>279</v>
      </c>
      <c r="D188" s="27"/>
    </row>
    <row r="189" spans="1:4" ht="14.45" x14ac:dyDescent="0.3">
      <c r="A189" s="25" t="s">
        <v>185</v>
      </c>
      <c r="B189" s="26" t="s">
        <v>249</v>
      </c>
      <c r="C189" s="27" t="s">
        <v>254</v>
      </c>
      <c r="D189" s="27" t="s">
        <v>249</v>
      </c>
    </row>
    <row r="190" spans="1:4" ht="14.45" x14ac:dyDescent="0.3">
      <c r="A190" s="28" t="s">
        <v>186</v>
      </c>
      <c r="B190" s="29" t="s">
        <v>248</v>
      </c>
      <c r="C190" s="27"/>
      <c r="D190" s="27"/>
    </row>
    <row r="191" spans="1:4" ht="14.45" x14ac:dyDescent="0.3">
      <c r="A191" s="25" t="s">
        <v>187</v>
      </c>
      <c r="B191" s="26" t="s">
        <v>249</v>
      </c>
      <c r="C191" s="27" t="s">
        <v>255</v>
      </c>
      <c r="D191" s="27" t="s">
        <v>249</v>
      </c>
    </row>
    <row r="192" spans="1:4" ht="14.45" x14ac:dyDescent="0.3">
      <c r="A192" s="28" t="s">
        <v>188</v>
      </c>
      <c r="B192" s="29" t="s">
        <v>248</v>
      </c>
      <c r="C192" s="27"/>
      <c r="D192" s="27"/>
    </row>
    <row r="193" spans="1:4" ht="14.45" x14ac:dyDescent="0.3">
      <c r="A193" s="28" t="s">
        <v>189</v>
      </c>
      <c r="B193" s="29" t="s">
        <v>248</v>
      </c>
      <c r="C193" s="27"/>
      <c r="D193" s="27"/>
    </row>
    <row r="194" spans="1:4" ht="14.45" x14ac:dyDescent="0.3">
      <c r="A194" s="28" t="s">
        <v>190</v>
      </c>
      <c r="B194" s="29" t="s">
        <v>248</v>
      </c>
      <c r="C194" s="21"/>
      <c r="D194" s="27"/>
    </row>
    <row r="195" spans="1:4" ht="14.45" x14ac:dyDescent="0.3">
      <c r="A195" s="28" t="s">
        <v>191</v>
      </c>
      <c r="B195" s="29" t="s">
        <v>248</v>
      </c>
      <c r="C195" s="21"/>
      <c r="D195" s="27"/>
    </row>
    <row r="196" spans="1:4" ht="14.45" x14ac:dyDescent="0.3">
      <c r="A196" s="25" t="s">
        <v>192</v>
      </c>
      <c r="B196" s="26" t="s">
        <v>249</v>
      </c>
      <c r="C196" s="27" t="s">
        <v>261</v>
      </c>
      <c r="D196" s="27" t="s">
        <v>249</v>
      </c>
    </row>
    <row r="197" spans="1:4" ht="14.45" x14ac:dyDescent="0.3">
      <c r="A197" s="28" t="s">
        <v>193</v>
      </c>
      <c r="B197" s="29" t="s">
        <v>248</v>
      </c>
      <c r="C197" s="27"/>
      <c r="D197" s="27"/>
    </row>
    <row r="198" spans="1:4" ht="14.45" x14ac:dyDescent="0.3">
      <c r="A198" s="25" t="s">
        <v>194</v>
      </c>
      <c r="B198" s="26" t="s">
        <v>249</v>
      </c>
      <c r="C198" s="27" t="s">
        <v>262</v>
      </c>
      <c r="D198" s="27" t="s">
        <v>249</v>
      </c>
    </row>
    <row r="199" spans="1:4" ht="14.45" x14ac:dyDescent="0.3">
      <c r="A199" s="28" t="s">
        <v>195</v>
      </c>
      <c r="B199" s="29" t="s">
        <v>248</v>
      </c>
      <c r="C199" s="27"/>
      <c r="D199" s="27"/>
    </row>
    <row r="200" spans="1:4" ht="14.45" x14ac:dyDescent="0.3">
      <c r="A200" s="25" t="s">
        <v>196</v>
      </c>
      <c r="B200" s="26" t="s">
        <v>249</v>
      </c>
      <c r="C200" s="27" t="s">
        <v>262</v>
      </c>
      <c r="D200" s="27" t="s">
        <v>249</v>
      </c>
    </row>
    <row r="201" spans="1:4" ht="14.45" x14ac:dyDescent="0.3">
      <c r="A201" s="28" t="s">
        <v>197</v>
      </c>
      <c r="B201" s="29" t="s">
        <v>248</v>
      </c>
      <c r="C201" s="27"/>
      <c r="D201" s="27" t="s">
        <v>249</v>
      </c>
    </row>
    <row r="202" spans="1:4" ht="14.45" x14ac:dyDescent="0.3">
      <c r="A202" s="28" t="s">
        <v>198</v>
      </c>
      <c r="B202" s="29" t="s">
        <v>248</v>
      </c>
      <c r="C202" s="27"/>
      <c r="D202" s="27"/>
    </row>
    <row r="203" spans="1:4" ht="14.45" x14ac:dyDescent="0.3">
      <c r="A203" s="28" t="s">
        <v>199</v>
      </c>
      <c r="B203" s="29" t="s">
        <v>248</v>
      </c>
      <c r="C203" s="27"/>
      <c r="D203" s="27"/>
    </row>
    <row r="204" spans="1:4" ht="14.45" x14ac:dyDescent="0.3">
      <c r="A204" s="25" t="s">
        <v>200</v>
      </c>
      <c r="B204" s="26" t="s">
        <v>249</v>
      </c>
      <c r="C204" s="27" t="s">
        <v>278</v>
      </c>
      <c r="D204" s="27" t="s">
        <v>249</v>
      </c>
    </row>
    <row r="205" spans="1:4" ht="14.45" x14ac:dyDescent="0.3">
      <c r="A205" s="25" t="s">
        <v>201</v>
      </c>
      <c r="B205" s="26" t="s">
        <v>249</v>
      </c>
      <c r="C205" s="27" t="s">
        <v>262</v>
      </c>
      <c r="D205" s="27" t="s">
        <v>249</v>
      </c>
    </row>
    <row r="206" spans="1:4" ht="14.45" x14ac:dyDescent="0.3">
      <c r="A206" s="28" t="s">
        <v>202</v>
      </c>
      <c r="B206" s="29" t="s">
        <v>248</v>
      </c>
      <c r="C206" s="27"/>
      <c r="D206" s="27"/>
    </row>
    <row r="207" spans="1:4" ht="14.45" x14ac:dyDescent="0.3">
      <c r="A207" s="28" t="s">
        <v>203</v>
      </c>
      <c r="B207" s="29" t="s">
        <v>248</v>
      </c>
      <c r="C207" s="27"/>
      <c r="D207" s="27"/>
    </row>
    <row r="208" spans="1:4" ht="14.45" x14ac:dyDescent="0.3">
      <c r="A208" s="28" t="s">
        <v>204</v>
      </c>
      <c r="B208" s="29" t="s">
        <v>248</v>
      </c>
      <c r="C208" s="27"/>
      <c r="D208" s="27" t="s">
        <v>249</v>
      </c>
    </row>
    <row r="209" spans="1:4" ht="14.45" x14ac:dyDescent="0.3">
      <c r="A209" s="28" t="s">
        <v>205</v>
      </c>
      <c r="B209" s="29" t="s">
        <v>248</v>
      </c>
      <c r="C209" s="27"/>
      <c r="D209" s="27"/>
    </row>
    <row r="210" spans="1:4" ht="14.45" x14ac:dyDescent="0.3">
      <c r="A210" s="28" t="s">
        <v>206</v>
      </c>
      <c r="B210" s="29" t="s">
        <v>248</v>
      </c>
      <c r="C210" s="27"/>
      <c r="D210" s="27"/>
    </row>
    <row r="211" spans="1:4" ht="14.45" x14ac:dyDescent="0.3">
      <c r="A211" s="28" t="s">
        <v>207</v>
      </c>
      <c r="B211" s="29" t="s">
        <v>248</v>
      </c>
      <c r="C211" s="27"/>
      <c r="D211" s="27"/>
    </row>
    <row r="212" spans="1:4" ht="14.45" x14ac:dyDescent="0.3">
      <c r="A212" s="28" t="s">
        <v>208</v>
      </c>
      <c r="B212" s="29" t="s">
        <v>248</v>
      </c>
      <c r="C212" s="27"/>
      <c r="D212" s="27"/>
    </row>
    <row r="213" spans="1:4" ht="14.45" x14ac:dyDescent="0.3">
      <c r="A213" s="28" t="s">
        <v>209</v>
      </c>
      <c r="B213" s="29" t="s">
        <v>248</v>
      </c>
      <c r="C213" s="27"/>
      <c r="D213" s="27"/>
    </row>
    <row r="214" spans="1:4" ht="14.45" x14ac:dyDescent="0.3">
      <c r="A214" s="28" t="s">
        <v>210</v>
      </c>
      <c r="B214" s="29" t="s">
        <v>248</v>
      </c>
      <c r="C214" s="27"/>
      <c r="D214" s="27"/>
    </row>
    <row r="215" spans="1:4" ht="14.45" x14ac:dyDescent="0.3">
      <c r="A215" s="28" t="s">
        <v>211</v>
      </c>
      <c r="B215" s="29" t="s">
        <v>248</v>
      </c>
      <c r="C215" s="27"/>
      <c r="D215" s="27"/>
    </row>
    <row r="216" spans="1:4" ht="14.45" x14ac:dyDescent="0.3">
      <c r="A216" s="28" t="s">
        <v>212</v>
      </c>
      <c r="B216" s="29" t="s">
        <v>248</v>
      </c>
      <c r="C216" s="21"/>
      <c r="D216" s="27"/>
    </row>
    <row r="217" spans="1:4" ht="14.45" x14ac:dyDescent="0.3">
      <c r="A217" s="25" t="s">
        <v>213</v>
      </c>
      <c r="B217" s="26" t="s">
        <v>249</v>
      </c>
      <c r="C217" s="27" t="s">
        <v>254</v>
      </c>
      <c r="D217" s="27" t="s">
        <v>249</v>
      </c>
    </row>
    <row r="218" spans="1:4" ht="14.45" x14ac:dyDescent="0.3">
      <c r="A218" s="28" t="s">
        <v>214</v>
      </c>
      <c r="B218" s="29" t="s">
        <v>248</v>
      </c>
      <c r="C218" s="27"/>
      <c r="D218" s="27"/>
    </row>
    <row r="219" spans="1:4" ht="14.45" x14ac:dyDescent="0.3">
      <c r="A219" s="25" t="s">
        <v>242</v>
      </c>
      <c r="B219" s="26" t="s">
        <v>249</v>
      </c>
      <c r="C219" s="27" t="s">
        <v>280</v>
      </c>
      <c r="D219" s="27" t="s">
        <v>249</v>
      </c>
    </row>
    <row r="220" spans="1:4" ht="14.45" x14ac:dyDescent="0.3">
      <c r="A220" s="28" t="s">
        <v>215</v>
      </c>
      <c r="B220" s="29" t="s">
        <v>248</v>
      </c>
      <c r="C220" s="27"/>
      <c r="D220" s="27"/>
    </row>
    <row r="221" spans="1:4" ht="14.45" x14ac:dyDescent="0.3">
      <c r="A221" s="25" t="s">
        <v>216</v>
      </c>
      <c r="B221" s="26" t="s">
        <v>249</v>
      </c>
      <c r="C221" s="27" t="s">
        <v>259</v>
      </c>
      <c r="D221" s="27" t="s">
        <v>249</v>
      </c>
    </row>
    <row r="222" spans="1:4" ht="14.45" x14ac:dyDescent="0.3">
      <c r="A222" s="28" t="s">
        <v>217</v>
      </c>
      <c r="B222" s="29" t="s">
        <v>248</v>
      </c>
      <c r="C222" s="27"/>
      <c r="D222" s="27"/>
    </row>
    <row r="223" spans="1:4" x14ac:dyDescent="0.25">
      <c r="A223" s="28" t="s">
        <v>218</v>
      </c>
      <c r="B223" s="29" t="s">
        <v>248</v>
      </c>
      <c r="C223" s="27"/>
      <c r="D223" s="27"/>
    </row>
    <row r="224" spans="1:4" x14ac:dyDescent="0.25">
      <c r="A224" s="25" t="s">
        <v>219</v>
      </c>
      <c r="B224" s="26" t="s">
        <v>249</v>
      </c>
      <c r="C224" s="27" t="s">
        <v>267</v>
      </c>
      <c r="D224" s="27" t="s">
        <v>249</v>
      </c>
    </row>
    <row r="225" spans="1:4" x14ac:dyDescent="0.25">
      <c r="A225" s="28" t="s">
        <v>220</v>
      </c>
      <c r="B225" s="29" t="s">
        <v>248</v>
      </c>
      <c r="C225" s="27"/>
      <c r="D225" s="27"/>
    </row>
    <row r="226" spans="1:4" x14ac:dyDescent="0.25">
      <c r="A226" s="25" t="s">
        <v>346</v>
      </c>
      <c r="B226" s="26" t="s">
        <v>249</v>
      </c>
      <c r="C226" s="27" t="s">
        <v>254</v>
      </c>
      <c r="D226" s="27" t="s">
        <v>249</v>
      </c>
    </row>
    <row r="227" spans="1:4" x14ac:dyDescent="0.25">
      <c r="A227" s="28" t="s">
        <v>221</v>
      </c>
      <c r="B227" s="29" t="s">
        <v>248</v>
      </c>
      <c r="C227" s="27"/>
      <c r="D227" s="27"/>
    </row>
    <row r="228" spans="1:4" x14ac:dyDescent="0.25">
      <c r="A228" s="28" t="s">
        <v>222</v>
      </c>
      <c r="B228" s="29" t="s">
        <v>248</v>
      </c>
      <c r="C228" s="21"/>
      <c r="D228" s="27"/>
    </row>
    <row r="229" spans="1:4" x14ac:dyDescent="0.25">
      <c r="A229" s="28" t="s">
        <v>223</v>
      </c>
      <c r="B229" s="29" t="s">
        <v>248</v>
      </c>
      <c r="C229" s="27"/>
      <c r="D229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A6" sqref="A6"/>
    </sheetView>
  </sheetViews>
  <sheetFormatPr defaultColWidth="8.85546875" defaultRowHeight="15" x14ac:dyDescent="0.25"/>
  <cols>
    <col min="1" max="1" width="76.140625" customWidth="1"/>
  </cols>
  <sheetData>
    <row r="1" spans="1:3" x14ac:dyDescent="0.3">
      <c r="A1" s="20" t="str">
        <f>country_level_stats!B1</f>
        <v>master_volunteerEURO_2022_08_23</v>
      </c>
    </row>
    <row r="2" spans="1:3" x14ac:dyDescent="0.3">
      <c r="A2" s="20"/>
      <c r="C2" t="s">
        <v>243</v>
      </c>
    </row>
    <row r="3" spans="1:3" x14ac:dyDescent="0.3">
      <c r="A3" t="s">
        <v>230</v>
      </c>
      <c r="B3">
        <f ca="1">(COUNTA(INDIRECT("'["&amp;$A$1&amp;".xlsm]data'!$A:$A")))-1</f>
        <v>0</v>
      </c>
      <c r="C3">
        <v>81936</v>
      </c>
    </row>
    <row r="4" spans="1:3" x14ac:dyDescent="0.3">
      <c r="A4" t="s">
        <v>246</v>
      </c>
      <c r="B4" t="e" cm="1">
        <f t="array" aca="1" ref="B4" ca="1">SUM(COUNTIF(INDIRECT("[" &amp;$A$1 &amp; ".xlsm]data!$P:$P"),{8.2,8.3,8.4,"8.4.1","8.4.2",8.5,10,11,12,13,14}))</f>
        <v>#REF!</v>
      </c>
      <c r="C4">
        <v>0</v>
      </c>
    </row>
    <row r="5" spans="1:3" x14ac:dyDescent="0.3">
      <c r="A5" t="s">
        <v>231</v>
      </c>
      <c r="B5" t="e">
        <f ca="1">B3-B4</f>
        <v>#REF!</v>
      </c>
      <c r="C5">
        <v>81936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0"/>
  <sheetViews>
    <sheetView topLeftCell="A107" workbookViewId="0">
      <selection activeCell="B124" sqref="B124"/>
    </sheetView>
  </sheetViews>
  <sheetFormatPr defaultColWidth="8.85546875" defaultRowHeight="15" x14ac:dyDescent="0.25"/>
  <cols>
    <col min="1" max="1" width="42.28515625" bestFit="1" customWidth="1"/>
    <col min="2" max="2" width="50" bestFit="1" customWidth="1"/>
  </cols>
  <sheetData>
    <row r="1" spans="1:2" ht="14.45" x14ac:dyDescent="0.3">
      <c r="A1" t="s">
        <v>2</v>
      </c>
      <c r="B1" t="str">
        <f t="shared" ref="B1:B64" si="0">_xlfn.CONCAT(A1,".xlsx")</f>
        <v>Afghanistan.xlsx</v>
      </c>
    </row>
    <row r="2" spans="1:2" ht="14.45" x14ac:dyDescent="0.3">
      <c r="A2" t="s">
        <v>4</v>
      </c>
      <c r="B2" t="str">
        <f t="shared" si="0"/>
        <v>Algeria.xlsx</v>
      </c>
    </row>
    <row r="3" spans="1:2" ht="14.45" x14ac:dyDescent="0.3">
      <c r="A3" t="s">
        <v>5</v>
      </c>
      <c r="B3" t="str">
        <f t="shared" si="0"/>
        <v>American Samoa.xlsx</v>
      </c>
    </row>
    <row r="4" spans="1:2" ht="14.45" x14ac:dyDescent="0.3">
      <c r="A4" t="s">
        <v>7</v>
      </c>
      <c r="B4" t="str">
        <f t="shared" si="0"/>
        <v>Angola.xlsx</v>
      </c>
    </row>
    <row r="5" spans="1:2" ht="14.45" x14ac:dyDescent="0.3">
      <c r="A5" t="s">
        <v>8</v>
      </c>
      <c r="B5" t="str">
        <f t="shared" si="0"/>
        <v>Anguilla.xlsx</v>
      </c>
    </row>
    <row r="6" spans="1:2" ht="14.45" x14ac:dyDescent="0.3">
      <c r="A6" t="s">
        <v>9</v>
      </c>
      <c r="B6" t="str">
        <f t="shared" si="0"/>
        <v>Antigua And Barbuda.xlsx</v>
      </c>
    </row>
    <row r="7" spans="1:2" ht="14.45" x14ac:dyDescent="0.3">
      <c r="A7" t="s">
        <v>11</v>
      </c>
      <c r="B7" t="str">
        <f t="shared" si="0"/>
        <v>Armenia.xlsx</v>
      </c>
    </row>
    <row r="8" spans="1:2" ht="14.45" x14ac:dyDescent="0.3">
      <c r="A8" t="s">
        <v>12</v>
      </c>
      <c r="B8" t="str">
        <f t="shared" si="0"/>
        <v>Aruba.xlsx</v>
      </c>
    </row>
    <row r="9" spans="1:2" ht="14.45" x14ac:dyDescent="0.3">
      <c r="A9" t="s">
        <v>13</v>
      </c>
      <c r="B9" t="str">
        <f t="shared" si="0"/>
        <v>Australia.xlsx</v>
      </c>
    </row>
    <row r="10" spans="1:2" ht="14.45" x14ac:dyDescent="0.3">
      <c r="A10" t="s">
        <v>14</v>
      </c>
      <c r="B10" t="str">
        <f t="shared" si="0"/>
        <v>Austria.xlsx</v>
      </c>
    </row>
    <row r="11" spans="1:2" ht="14.45" x14ac:dyDescent="0.3">
      <c r="A11" t="s">
        <v>16</v>
      </c>
      <c r="B11" t="str">
        <f t="shared" si="0"/>
        <v>Bahamas.xlsx</v>
      </c>
    </row>
    <row r="12" spans="1:2" ht="14.45" x14ac:dyDescent="0.3">
      <c r="A12" t="s">
        <v>19</v>
      </c>
      <c r="B12" t="str">
        <f t="shared" si="0"/>
        <v>Barbados.xlsx</v>
      </c>
    </row>
    <row r="13" spans="1:2" ht="14.45" x14ac:dyDescent="0.3">
      <c r="A13" t="s">
        <v>21</v>
      </c>
      <c r="B13" t="str">
        <f t="shared" si="0"/>
        <v>Belgium.xlsx</v>
      </c>
    </row>
    <row r="14" spans="1:2" ht="14.45" x14ac:dyDescent="0.3">
      <c r="A14" t="s">
        <v>23</v>
      </c>
      <c r="B14" t="str">
        <f t="shared" si="0"/>
        <v>Benin.xlsx</v>
      </c>
    </row>
    <row r="15" spans="1:2" ht="14.45" x14ac:dyDescent="0.3">
      <c r="A15" t="s">
        <v>24</v>
      </c>
      <c r="B15" t="str">
        <f t="shared" si="0"/>
        <v>Bermuda.xlsx</v>
      </c>
    </row>
    <row r="16" spans="1:2" ht="14.45" x14ac:dyDescent="0.3">
      <c r="A16" t="s">
        <v>25</v>
      </c>
      <c r="B16" t="str">
        <f t="shared" si="0"/>
        <v>Bhutan.xlsx</v>
      </c>
    </row>
    <row r="17" spans="1:4" ht="14.45" x14ac:dyDescent="0.3">
      <c r="A17" t="s">
        <v>26</v>
      </c>
      <c r="B17" t="str">
        <f t="shared" si="0"/>
        <v>Bolivia, Plurinational State Of.xlsx</v>
      </c>
    </row>
    <row r="18" spans="1:4" ht="14.45" x14ac:dyDescent="0.3">
      <c r="A18" t="s">
        <v>281</v>
      </c>
      <c r="B18" t="str">
        <f t="shared" si="0"/>
        <v>Bonaire.xlsx</v>
      </c>
    </row>
    <row r="19" spans="1:4" ht="14.45" x14ac:dyDescent="0.3">
      <c r="A19" t="s">
        <v>29</v>
      </c>
      <c r="B19" t="str">
        <f t="shared" si="0"/>
        <v>Botswana.xlsx</v>
      </c>
    </row>
    <row r="20" spans="1:4" x14ac:dyDescent="0.25">
      <c r="A20" t="s">
        <v>31</v>
      </c>
      <c r="B20" t="str">
        <f t="shared" si="0"/>
        <v>British Virgin Islands.xlsx</v>
      </c>
    </row>
    <row r="21" spans="1:4" x14ac:dyDescent="0.25">
      <c r="A21" t="s">
        <v>36</v>
      </c>
      <c r="B21" t="str">
        <f t="shared" si="0"/>
        <v>Cabo Verde.xlsx</v>
      </c>
    </row>
    <row r="22" spans="1:4" x14ac:dyDescent="0.25">
      <c r="A22" t="s">
        <v>37</v>
      </c>
      <c r="B22" t="str">
        <f t="shared" si="0"/>
        <v>Cambodia.xlsx</v>
      </c>
    </row>
    <row r="23" spans="1:4" x14ac:dyDescent="0.25">
      <c r="A23" t="s">
        <v>38</v>
      </c>
      <c r="B23" t="str">
        <f t="shared" si="0"/>
        <v>Cameroon.xlsx</v>
      </c>
      <c r="D23" t="s">
        <v>287</v>
      </c>
    </row>
    <row r="24" spans="1:4" x14ac:dyDescent="0.25">
      <c r="A24" t="s">
        <v>40</v>
      </c>
      <c r="B24" t="str">
        <f t="shared" si="0"/>
        <v>Cayman Islands.xlsx</v>
      </c>
    </row>
    <row r="25" spans="1:4" x14ac:dyDescent="0.25">
      <c r="A25" t="s">
        <v>42</v>
      </c>
      <c r="B25" t="str">
        <f t="shared" si="0"/>
        <v>Chad.xlsx</v>
      </c>
    </row>
    <row r="26" spans="1:4" x14ac:dyDescent="0.25">
      <c r="A26" t="s">
        <v>43</v>
      </c>
      <c r="B26" t="str">
        <f t="shared" si="0"/>
        <v>Chile.xlsx</v>
      </c>
    </row>
    <row r="27" spans="1:4" x14ac:dyDescent="0.25">
      <c r="A27" t="s">
        <v>45</v>
      </c>
      <c r="B27" t="str">
        <f t="shared" si="0"/>
        <v>Colombia.xlsx</v>
      </c>
    </row>
    <row r="28" spans="1:4" x14ac:dyDescent="0.25">
      <c r="A28" t="s">
        <v>46</v>
      </c>
      <c r="B28" t="str">
        <f t="shared" si="0"/>
        <v>Comoros.xlsx</v>
      </c>
    </row>
    <row r="29" spans="1:4" x14ac:dyDescent="0.25">
      <c r="A29" t="s">
        <v>47</v>
      </c>
      <c r="B29" t="str">
        <f t="shared" si="0"/>
        <v>Congo.xlsx</v>
      </c>
    </row>
    <row r="30" spans="1:4" x14ac:dyDescent="0.25">
      <c r="A30" t="s">
        <v>48</v>
      </c>
      <c r="B30" t="str">
        <f t="shared" si="0"/>
        <v>Cook Islands.xlsx</v>
      </c>
    </row>
    <row r="31" spans="1:4" x14ac:dyDescent="0.25">
      <c r="A31" t="s">
        <v>52</v>
      </c>
      <c r="B31" t="str">
        <f t="shared" si="0"/>
        <v>Cuba.xlsx</v>
      </c>
    </row>
    <row r="32" spans="1:4" x14ac:dyDescent="0.25">
      <c r="A32" t="s">
        <v>53</v>
      </c>
      <c r="B32" t="str">
        <f t="shared" si="0"/>
        <v>Curacao.xlsx</v>
      </c>
    </row>
    <row r="33" spans="1:2" x14ac:dyDescent="0.25">
      <c r="A33" t="s">
        <v>56</v>
      </c>
      <c r="B33" t="str">
        <f t="shared" si="0"/>
        <v>Democratic People's Republic Of Korea.xlsx</v>
      </c>
    </row>
    <row r="34" spans="1:2" x14ac:dyDescent="0.25">
      <c r="A34" t="s">
        <v>59</v>
      </c>
      <c r="B34" t="str">
        <f t="shared" si="0"/>
        <v>Djibouti.xlsx</v>
      </c>
    </row>
    <row r="35" spans="1:2" x14ac:dyDescent="0.25">
      <c r="A35" t="s">
        <v>64</v>
      </c>
      <c r="B35" t="str">
        <f t="shared" si="0"/>
        <v>El Salvador.xlsx</v>
      </c>
    </row>
    <row r="36" spans="1:2" x14ac:dyDescent="0.25">
      <c r="A36" t="s">
        <v>65</v>
      </c>
      <c r="B36" t="str">
        <f t="shared" si="0"/>
        <v>Equatorial Guinea.xlsx</v>
      </c>
    </row>
    <row r="37" spans="1:2" x14ac:dyDescent="0.25">
      <c r="A37" t="s">
        <v>66</v>
      </c>
      <c r="B37" t="str">
        <f t="shared" si="0"/>
        <v>Eritrea.xlsx</v>
      </c>
    </row>
    <row r="38" spans="1:2" x14ac:dyDescent="0.25">
      <c r="A38" t="s">
        <v>69</v>
      </c>
      <c r="B38" t="str">
        <f t="shared" si="0"/>
        <v>Ethiopia.xlsx</v>
      </c>
    </row>
    <row r="39" spans="1:2" x14ac:dyDescent="0.25">
      <c r="A39" t="s">
        <v>70</v>
      </c>
      <c r="B39" t="str">
        <f t="shared" si="0"/>
        <v>Falkland Islands (Malvinas).xlsx</v>
      </c>
    </row>
    <row r="40" spans="1:2" x14ac:dyDescent="0.25">
      <c r="A40" t="s">
        <v>240</v>
      </c>
      <c r="B40" t="str">
        <f t="shared" si="0"/>
        <v>Faroe Islands.xlsx</v>
      </c>
    </row>
    <row r="41" spans="1:2" x14ac:dyDescent="0.25">
      <c r="A41" t="s">
        <v>74</v>
      </c>
      <c r="B41" t="str">
        <f t="shared" si="0"/>
        <v>French Guiana.xlsx</v>
      </c>
    </row>
    <row r="42" spans="1:2" x14ac:dyDescent="0.25">
      <c r="A42" t="s">
        <v>75</v>
      </c>
      <c r="B42" t="str">
        <f t="shared" si="0"/>
        <v>French Polynesia.xlsx</v>
      </c>
    </row>
    <row r="43" spans="1:2" x14ac:dyDescent="0.25">
      <c r="A43" t="s">
        <v>77</v>
      </c>
      <c r="B43" t="str">
        <f t="shared" si="0"/>
        <v>Gambia.xlsx</v>
      </c>
    </row>
    <row r="44" spans="1:2" x14ac:dyDescent="0.25">
      <c r="A44" t="s">
        <v>80</v>
      </c>
      <c r="B44" t="str">
        <f t="shared" si="0"/>
        <v>Ghana.xlsx</v>
      </c>
    </row>
    <row r="45" spans="1:2" x14ac:dyDescent="0.25">
      <c r="A45" t="s">
        <v>81</v>
      </c>
      <c r="B45" t="str">
        <f t="shared" si="0"/>
        <v>Gibraltar.xlsx</v>
      </c>
    </row>
    <row r="46" spans="1:2" x14ac:dyDescent="0.25">
      <c r="A46" t="s">
        <v>84</v>
      </c>
      <c r="B46" t="str">
        <f t="shared" si="0"/>
        <v>Grenada.xlsx</v>
      </c>
    </row>
    <row r="47" spans="1:2" x14ac:dyDescent="0.25">
      <c r="A47" t="s">
        <v>85</v>
      </c>
      <c r="B47" t="str">
        <f t="shared" si="0"/>
        <v>Guadeloupe.xlsx</v>
      </c>
    </row>
    <row r="48" spans="1:2" x14ac:dyDescent="0.25">
      <c r="A48" t="s">
        <v>87</v>
      </c>
      <c r="B48" t="str">
        <f t="shared" si="0"/>
        <v>Guatemala.xlsx</v>
      </c>
    </row>
    <row r="49" spans="1:4" x14ac:dyDescent="0.25">
      <c r="A49" t="s">
        <v>88</v>
      </c>
      <c r="B49" t="str">
        <f t="shared" si="0"/>
        <v>Guernsey.xlsx</v>
      </c>
    </row>
    <row r="50" spans="1:4" x14ac:dyDescent="0.25">
      <c r="A50" t="s">
        <v>89</v>
      </c>
      <c r="B50" t="str">
        <f t="shared" si="0"/>
        <v>Guinea.xlsx</v>
      </c>
    </row>
    <row r="51" spans="1:4" x14ac:dyDescent="0.25">
      <c r="A51" t="s">
        <v>90</v>
      </c>
      <c r="B51" t="str">
        <f t="shared" si="0"/>
        <v>Guinea-Bissau.xlsx</v>
      </c>
    </row>
    <row r="52" spans="1:4" x14ac:dyDescent="0.25">
      <c r="A52" t="s">
        <v>91</v>
      </c>
      <c r="B52" t="str">
        <f t="shared" si="0"/>
        <v>Guyana.xlsx</v>
      </c>
    </row>
    <row r="53" spans="1:4" x14ac:dyDescent="0.25">
      <c r="A53" t="s">
        <v>97</v>
      </c>
      <c r="B53" t="str">
        <f t="shared" si="0"/>
        <v>Indonesia.xlsx</v>
      </c>
    </row>
    <row r="54" spans="1:4" x14ac:dyDescent="0.25">
      <c r="A54" t="s">
        <v>98</v>
      </c>
      <c r="B54" t="str">
        <f t="shared" si="0"/>
        <v>Iran, Islamic Republic Of.xlsx</v>
      </c>
    </row>
    <row r="55" spans="1:4" x14ac:dyDescent="0.25">
      <c r="A55" t="s">
        <v>100</v>
      </c>
      <c r="B55" t="str">
        <f t="shared" si="0"/>
        <v>Ireland.xlsx</v>
      </c>
    </row>
    <row r="56" spans="1:4" x14ac:dyDescent="0.25">
      <c r="A56" t="s">
        <v>101</v>
      </c>
      <c r="B56" t="str">
        <f t="shared" si="0"/>
        <v>Isle Of Man.xlsx</v>
      </c>
    </row>
    <row r="57" spans="1:4" x14ac:dyDescent="0.25">
      <c r="A57" t="s">
        <v>104</v>
      </c>
      <c r="B57" t="str">
        <f t="shared" si="0"/>
        <v>Jamaica.xlsx</v>
      </c>
    </row>
    <row r="58" spans="1:4" x14ac:dyDescent="0.25">
      <c r="A58" t="s">
        <v>105</v>
      </c>
      <c r="B58" t="str">
        <f t="shared" si="0"/>
        <v>Japan.xlsx</v>
      </c>
    </row>
    <row r="59" spans="1:4" x14ac:dyDescent="0.25">
      <c r="A59" t="s">
        <v>106</v>
      </c>
      <c r="B59" t="str">
        <f t="shared" si="0"/>
        <v>Jersey.xlsx</v>
      </c>
    </row>
    <row r="60" spans="1:4" x14ac:dyDescent="0.25">
      <c r="A60" t="s">
        <v>107</v>
      </c>
      <c r="B60" t="str">
        <f t="shared" si="0"/>
        <v>Jordan.xlsx</v>
      </c>
    </row>
    <row r="61" spans="1:4" x14ac:dyDescent="0.25">
      <c r="A61" t="s">
        <v>110</v>
      </c>
      <c r="B61" t="str">
        <f t="shared" si="0"/>
        <v>Kiribati.xlsx</v>
      </c>
    </row>
    <row r="62" spans="1:4" x14ac:dyDescent="0.25">
      <c r="A62" t="s">
        <v>282</v>
      </c>
      <c r="B62" t="str">
        <f t="shared" si="0"/>
        <v>Kosovo.xlsx</v>
      </c>
    </row>
    <row r="63" spans="1:4" x14ac:dyDescent="0.25">
      <c r="A63" t="s">
        <v>112</v>
      </c>
      <c r="B63" t="str">
        <f t="shared" si="0"/>
        <v>Kyrgyzstan.xlsx</v>
      </c>
    </row>
    <row r="64" spans="1:4" x14ac:dyDescent="0.25">
      <c r="A64" t="s">
        <v>115</v>
      </c>
      <c r="B64" t="str">
        <f t="shared" si="0"/>
        <v>Lebanon.xlsx</v>
      </c>
      <c r="D64" t="s">
        <v>288</v>
      </c>
    </row>
    <row r="65" spans="1:2" x14ac:dyDescent="0.25">
      <c r="A65" t="s">
        <v>116</v>
      </c>
      <c r="B65" t="str">
        <f t="shared" ref="B65:B92" si="1">_xlfn.CONCAT(A65,".xlsx")</f>
        <v>Lesotho.xlsx</v>
      </c>
    </row>
    <row r="66" spans="1:2" x14ac:dyDescent="0.25">
      <c r="A66" t="s">
        <v>119</v>
      </c>
      <c r="B66" t="str">
        <f t="shared" si="1"/>
        <v>Liechtenstein.xlsx</v>
      </c>
    </row>
    <row r="67" spans="1:2" x14ac:dyDescent="0.25">
      <c r="A67" t="s">
        <v>122</v>
      </c>
      <c r="B67" t="str">
        <f t="shared" si="1"/>
        <v>Madagascar.xlsx</v>
      </c>
    </row>
    <row r="68" spans="1:2" x14ac:dyDescent="0.25">
      <c r="A68" t="s">
        <v>123</v>
      </c>
      <c r="B68" t="str">
        <f t="shared" si="1"/>
        <v>Malawi.xlsx</v>
      </c>
    </row>
    <row r="69" spans="1:2" x14ac:dyDescent="0.25">
      <c r="A69" t="s">
        <v>125</v>
      </c>
      <c r="B69" t="str">
        <f t="shared" si="1"/>
        <v>Maldives.xlsx</v>
      </c>
    </row>
    <row r="70" spans="1:2" x14ac:dyDescent="0.25">
      <c r="A70" t="s">
        <v>126</v>
      </c>
      <c r="B70" t="str">
        <f t="shared" si="1"/>
        <v>Mali.xlsx</v>
      </c>
    </row>
    <row r="71" spans="1:2" x14ac:dyDescent="0.25">
      <c r="A71" t="s">
        <v>128</v>
      </c>
      <c r="B71" t="str">
        <f t="shared" si="1"/>
        <v>Marshall Islands.xlsx</v>
      </c>
    </row>
    <row r="72" spans="1:2" x14ac:dyDescent="0.25">
      <c r="A72" t="s">
        <v>241</v>
      </c>
      <c r="B72" t="str">
        <f t="shared" si="1"/>
        <v>Martinique.xlsx</v>
      </c>
    </row>
    <row r="73" spans="1:2" x14ac:dyDescent="0.25">
      <c r="A73" t="s">
        <v>129</v>
      </c>
      <c r="B73" t="str">
        <f t="shared" si="1"/>
        <v>Mauritania.xlsx</v>
      </c>
    </row>
    <row r="74" spans="1:2" x14ac:dyDescent="0.25">
      <c r="A74" t="s">
        <v>130</v>
      </c>
      <c r="B74" t="str">
        <f t="shared" si="1"/>
        <v>Mauritius.xlsx</v>
      </c>
    </row>
    <row r="75" spans="1:2" x14ac:dyDescent="0.25">
      <c r="A75" t="s">
        <v>283</v>
      </c>
      <c r="B75" t="str">
        <f t="shared" si="1"/>
        <v>Mayotte.xlsx</v>
      </c>
    </row>
    <row r="76" spans="1:2" x14ac:dyDescent="0.25">
      <c r="A76" t="s">
        <v>131</v>
      </c>
      <c r="B76" t="str">
        <f t="shared" si="1"/>
        <v>Mexico.xlsx</v>
      </c>
    </row>
    <row r="77" spans="1:2" x14ac:dyDescent="0.25">
      <c r="A77" t="s">
        <v>132</v>
      </c>
      <c r="B77" t="str">
        <f t="shared" si="1"/>
        <v>Micronesia, Federated States Of.xlsx</v>
      </c>
    </row>
    <row r="78" spans="1:2" x14ac:dyDescent="0.25">
      <c r="A78" t="s">
        <v>133</v>
      </c>
      <c r="B78" t="str">
        <f t="shared" si="1"/>
        <v>Monaco.xlsx</v>
      </c>
    </row>
    <row r="79" spans="1:2" x14ac:dyDescent="0.25">
      <c r="A79" t="s">
        <v>135</v>
      </c>
      <c r="B79" t="str">
        <f t="shared" si="1"/>
        <v>Montenegro.xlsx</v>
      </c>
    </row>
    <row r="80" spans="1:2" x14ac:dyDescent="0.25">
      <c r="A80" t="s">
        <v>136</v>
      </c>
      <c r="B80" t="str">
        <f t="shared" si="1"/>
        <v>Montserrat.xlsx</v>
      </c>
    </row>
    <row r="81" spans="1:2" x14ac:dyDescent="0.25">
      <c r="A81" t="s">
        <v>139</v>
      </c>
      <c r="B81" t="str">
        <f t="shared" si="1"/>
        <v>Myanmar.xlsx</v>
      </c>
    </row>
    <row r="82" spans="1:2" x14ac:dyDescent="0.25">
      <c r="A82" t="s">
        <v>140</v>
      </c>
      <c r="B82" t="str">
        <f t="shared" si="1"/>
        <v>Namibia.xlsx</v>
      </c>
    </row>
    <row r="83" spans="1:2" x14ac:dyDescent="0.25">
      <c r="A83" t="s">
        <v>141</v>
      </c>
      <c r="B83" t="str">
        <f t="shared" si="1"/>
        <v>Nauru.xlsx</v>
      </c>
    </row>
    <row r="84" spans="1:2" x14ac:dyDescent="0.25">
      <c r="A84" t="s">
        <v>144</v>
      </c>
      <c r="B84" t="str">
        <f t="shared" si="1"/>
        <v>New Caledonia.xlsx</v>
      </c>
    </row>
    <row r="85" spans="1:2" x14ac:dyDescent="0.25">
      <c r="A85" t="s">
        <v>145</v>
      </c>
      <c r="B85" t="str">
        <f t="shared" si="1"/>
        <v>New Zealand.xlsx</v>
      </c>
    </row>
    <row r="86" spans="1:2" x14ac:dyDescent="0.25">
      <c r="A86" t="s">
        <v>148</v>
      </c>
      <c r="B86" t="str">
        <f t="shared" si="1"/>
        <v>Nigeria.xlsx</v>
      </c>
    </row>
    <row r="87" spans="1:2" x14ac:dyDescent="0.25">
      <c r="A87" t="s">
        <v>149</v>
      </c>
      <c r="B87" t="str">
        <f t="shared" si="1"/>
        <v>Niue.xlsx</v>
      </c>
    </row>
    <row r="88" spans="1:2" x14ac:dyDescent="0.25">
      <c r="A88" t="s">
        <v>150</v>
      </c>
      <c r="B88" t="str">
        <f t="shared" si="1"/>
        <v>North Macedonia.xlsx</v>
      </c>
    </row>
    <row r="89" spans="1:2" x14ac:dyDescent="0.25">
      <c r="A89" t="s">
        <v>235</v>
      </c>
      <c r="B89" t="str">
        <f t="shared" si="1"/>
        <v>Northern Mariana Islands, Commonwealth Of The.xlsx</v>
      </c>
    </row>
    <row r="90" spans="1:2" x14ac:dyDescent="0.25">
      <c r="A90" t="s">
        <v>348</v>
      </c>
      <c r="B90" t="str">
        <f t="shared" si="1"/>
        <v>Occupied Palestinian Territory, Including East Jerusalem.xlsx</v>
      </c>
    </row>
    <row r="91" spans="1:2" x14ac:dyDescent="0.25">
      <c r="A91" t="s">
        <v>152</v>
      </c>
      <c r="B91" t="str">
        <f t="shared" si="1"/>
        <v>Oman.xlsx</v>
      </c>
    </row>
    <row r="92" spans="1:2" x14ac:dyDescent="0.25">
      <c r="A92" t="s">
        <v>153</v>
      </c>
      <c r="B92" t="str">
        <f t="shared" si="1"/>
        <v>Pakistan.xlsx</v>
      </c>
    </row>
    <row r="93" spans="1:2" x14ac:dyDescent="0.25">
      <c r="A93" t="s">
        <v>154</v>
      </c>
      <c r="B93" t="str">
        <f t="shared" ref="B93:B131" si="2">_xlfn.CONCAT(A93,".xlsx")</f>
        <v>Palau.xlsx</v>
      </c>
    </row>
    <row r="94" spans="1:2" x14ac:dyDescent="0.25">
      <c r="A94" t="s">
        <v>155</v>
      </c>
      <c r="B94" t="str">
        <f t="shared" si="2"/>
        <v>Panama.xlsx</v>
      </c>
    </row>
    <row r="95" spans="1:2" x14ac:dyDescent="0.25">
      <c r="A95" t="s">
        <v>160</v>
      </c>
      <c r="B95" t="str">
        <f t="shared" si="2"/>
        <v>Pitcairn Islands.xlsx</v>
      </c>
    </row>
    <row r="96" spans="1:2" x14ac:dyDescent="0.25">
      <c r="A96" t="s">
        <v>164</v>
      </c>
      <c r="B96" t="str">
        <f t="shared" si="2"/>
        <v>Qatar.xlsx</v>
      </c>
    </row>
    <row r="97" spans="1:3" x14ac:dyDescent="0.25">
      <c r="A97" t="s">
        <v>167</v>
      </c>
      <c r="B97" t="str">
        <f t="shared" si="2"/>
        <v>Reunion.xlsx</v>
      </c>
    </row>
    <row r="98" spans="1:3" x14ac:dyDescent="0.25">
      <c r="A98" t="s">
        <v>284</v>
      </c>
      <c r="B98" t="str">
        <f t="shared" si="2"/>
        <v>Saba.xlsx</v>
      </c>
    </row>
    <row r="99" spans="1:3" x14ac:dyDescent="0.25">
      <c r="A99" t="s">
        <v>171</v>
      </c>
      <c r="B99" t="str">
        <f t="shared" si="2"/>
        <v>Saint Barthelemy.xlsx</v>
      </c>
    </row>
    <row r="100" spans="1:3" x14ac:dyDescent="0.25">
      <c r="A100" t="s">
        <v>244</v>
      </c>
      <c r="B100" t="str">
        <f t="shared" si="2"/>
        <v>Saint Helena.xlsx</v>
      </c>
    </row>
    <row r="101" spans="1:3" x14ac:dyDescent="0.25">
      <c r="A101" t="s">
        <v>172</v>
      </c>
      <c r="B101" t="str">
        <f t="shared" si="2"/>
        <v>Saint Kitts And Nevis.xlsx</v>
      </c>
    </row>
    <row r="102" spans="1:3" x14ac:dyDescent="0.25">
      <c r="A102" t="s">
        <v>173</v>
      </c>
      <c r="B102" t="str">
        <f t="shared" si="2"/>
        <v>Saint Lucia.xlsx</v>
      </c>
      <c r="C102" t="s">
        <v>289</v>
      </c>
    </row>
    <row r="103" spans="1:3" x14ac:dyDescent="0.25">
      <c r="A103" t="s">
        <v>174</v>
      </c>
      <c r="B103" t="str">
        <f t="shared" si="2"/>
        <v>Saint Martin.xlsx</v>
      </c>
      <c r="C103" t="s">
        <v>290</v>
      </c>
    </row>
    <row r="104" spans="1:3" x14ac:dyDescent="0.25">
      <c r="A104" t="s">
        <v>285</v>
      </c>
      <c r="B104" t="str">
        <f t="shared" si="2"/>
        <v>Saint Pierre and Miquelon.xlsx</v>
      </c>
      <c r="C104" t="s">
        <v>291</v>
      </c>
    </row>
    <row r="105" spans="1:3" x14ac:dyDescent="0.25">
      <c r="A105" t="s">
        <v>175</v>
      </c>
      <c r="B105" t="str">
        <f t="shared" si="2"/>
        <v>Saint Vincent And The Grenadines.xlsx</v>
      </c>
      <c r="C105" t="s">
        <v>292</v>
      </c>
    </row>
    <row r="106" spans="1:3" x14ac:dyDescent="0.25">
      <c r="A106" t="s">
        <v>176</v>
      </c>
      <c r="B106" t="str">
        <f t="shared" si="2"/>
        <v>Samoa.xlsx</v>
      </c>
      <c r="C106" t="s">
        <v>293</v>
      </c>
    </row>
    <row r="107" spans="1:3" x14ac:dyDescent="0.25">
      <c r="A107" t="s">
        <v>178</v>
      </c>
      <c r="B107" t="str">
        <f t="shared" si="2"/>
        <v>Sao Tome And Principe.xlsx</v>
      </c>
      <c r="C107" t="s">
        <v>294</v>
      </c>
    </row>
    <row r="108" spans="1:3" x14ac:dyDescent="0.25">
      <c r="A108" t="s">
        <v>179</v>
      </c>
      <c r="B108" t="str">
        <f t="shared" si="2"/>
        <v>Saudi Arabia.xlsx</v>
      </c>
      <c r="C108" t="s">
        <v>295</v>
      </c>
    </row>
    <row r="109" spans="1:3" x14ac:dyDescent="0.25">
      <c r="A109" t="s">
        <v>180</v>
      </c>
      <c r="B109" t="str">
        <f t="shared" si="2"/>
        <v>Senegal.xlsx</v>
      </c>
      <c r="C109" t="s">
        <v>296</v>
      </c>
    </row>
    <row r="110" spans="1:3" x14ac:dyDescent="0.25">
      <c r="A110" t="s">
        <v>181</v>
      </c>
      <c r="B110" t="str">
        <f t="shared" si="2"/>
        <v>Serbia.xlsx</v>
      </c>
      <c r="C110" t="s">
        <v>297</v>
      </c>
    </row>
    <row r="111" spans="1:3" x14ac:dyDescent="0.25">
      <c r="A111" t="s">
        <v>182</v>
      </c>
      <c r="B111" t="str">
        <f t="shared" si="2"/>
        <v>Seychelles.xlsx</v>
      </c>
      <c r="C111" t="s">
        <v>298</v>
      </c>
    </row>
    <row r="112" spans="1:3" x14ac:dyDescent="0.25">
      <c r="A112" t="s">
        <v>286</v>
      </c>
      <c r="B112" t="str">
        <f t="shared" si="2"/>
        <v>Sint Eustatius.xlsx</v>
      </c>
      <c r="C112" t="s">
        <v>299</v>
      </c>
    </row>
    <row r="113" spans="1:3" x14ac:dyDescent="0.25">
      <c r="A113" t="s">
        <v>185</v>
      </c>
      <c r="B113" t="str">
        <f t="shared" si="2"/>
        <v>Sint Maarten.xlsx</v>
      </c>
      <c r="C113" t="s">
        <v>300</v>
      </c>
    </row>
    <row r="114" spans="1:3" x14ac:dyDescent="0.25">
      <c r="A114" t="s">
        <v>186</v>
      </c>
      <c r="B114" t="str">
        <f t="shared" si="2"/>
        <v>Slovakia.xlsx</v>
      </c>
      <c r="C114" t="s">
        <v>301</v>
      </c>
    </row>
    <row r="115" spans="1:3" x14ac:dyDescent="0.25">
      <c r="A115" t="s">
        <v>193</v>
      </c>
      <c r="B115" t="str">
        <f t="shared" si="2"/>
        <v>Sri Lanka.xlsx</v>
      </c>
      <c r="C115" t="s">
        <v>302</v>
      </c>
    </row>
    <row r="116" spans="1:3" x14ac:dyDescent="0.25">
      <c r="A116" t="s">
        <v>194</v>
      </c>
      <c r="B116" t="str">
        <f t="shared" si="2"/>
        <v>Sudan.xlsx</v>
      </c>
      <c r="C116" t="s">
        <v>303</v>
      </c>
    </row>
    <row r="117" spans="1:3" x14ac:dyDescent="0.25">
      <c r="A117" t="s">
        <v>195</v>
      </c>
      <c r="B117" t="str">
        <f t="shared" si="2"/>
        <v>Suriname.xlsx</v>
      </c>
      <c r="C117" t="s">
        <v>304</v>
      </c>
    </row>
    <row r="118" spans="1:3" x14ac:dyDescent="0.25">
      <c r="A118" t="s">
        <v>196</v>
      </c>
      <c r="B118" t="str">
        <f t="shared" si="2"/>
        <v>Sweden.xlsx</v>
      </c>
      <c r="C118" t="s">
        <v>305</v>
      </c>
    </row>
    <row r="119" spans="1:3" x14ac:dyDescent="0.25">
      <c r="A119" t="s">
        <v>198</v>
      </c>
      <c r="B119" t="str">
        <f t="shared" si="2"/>
        <v>Syrian Arab Republic.xlsx</v>
      </c>
      <c r="C119" t="s">
        <v>306</v>
      </c>
    </row>
    <row r="120" spans="1:3" x14ac:dyDescent="0.25">
      <c r="A120" t="s">
        <v>200</v>
      </c>
      <c r="B120" t="str">
        <f t="shared" si="2"/>
        <v>Thailand.xlsx</v>
      </c>
      <c r="C120" t="s">
        <v>307</v>
      </c>
    </row>
    <row r="121" spans="1:3" x14ac:dyDescent="0.25">
      <c r="A121" t="s">
        <v>202</v>
      </c>
      <c r="B121" t="str">
        <f t="shared" si="2"/>
        <v>Togo.xlsx</v>
      </c>
      <c r="C121" t="s">
        <v>308</v>
      </c>
    </row>
    <row r="122" spans="1:3" x14ac:dyDescent="0.25">
      <c r="A122" t="s">
        <v>203</v>
      </c>
      <c r="B122" t="str">
        <f t="shared" si="2"/>
        <v>Tonga.xlsx</v>
      </c>
      <c r="C122" t="s">
        <v>309</v>
      </c>
    </row>
    <row r="123" spans="1:3" x14ac:dyDescent="0.25">
      <c r="A123" t="s">
        <v>205</v>
      </c>
      <c r="B123" t="str">
        <f t="shared" si="2"/>
        <v>Tunisia.xlsx</v>
      </c>
      <c r="C123" t="s">
        <v>310</v>
      </c>
    </row>
    <row r="124" spans="1:3" x14ac:dyDescent="0.25">
      <c r="A124" t="s">
        <v>208</v>
      </c>
      <c r="B124" t="str">
        <f t="shared" si="2"/>
        <v>Turks And Caicos Islands.xlsx</v>
      </c>
      <c r="C124" t="s">
        <v>311</v>
      </c>
    </row>
    <row r="125" spans="1:3" x14ac:dyDescent="0.25">
      <c r="A125" t="s">
        <v>209</v>
      </c>
      <c r="B125" t="str">
        <f t="shared" si="2"/>
        <v>Tuvalu.xlsx</v>
      </c>
      <c r="C125" t="s">
        <v>312</v>
      </c>
    </row>
    <row r="126" spans="1:3" x14ac:dyDescent="0.25">
      <c r="A126" t="s">
        <v>214</v>
      </c>
      <c r="B126" t="str">
        <f t="shared" si="2"/>
        <v>United Republic Of Tanzania.xlsx</v>
      </c>
      <c r="C126" t="s">
        <v>313</v>
      </c>
    </row>
    <row r="127" spans="1:3" x14ac:dyDescent="0.25">
      <c r="A127" t="s">
        <v>216</v>
      </c>
      <c r="B127" t="str">
        <f t="shared" si="2"/>
        <v>Uruguay.xlsx</v>
      </c>
      <c r="C127" t="s">
        <v>314</v>
      </c>
    </row>
    <row r="128" spans="1:3" x14ac:dyDescent="0.25">
      <c r="A128" t="s">
        <v>218</v>
      </c>
      <c r="B128" t="str">
        <f t="shared" si="2"/>
        <v>Vanuatu.xlsx</v>
      </c>
      <c r="C128" t="s">
        <v>315</v>
      </c>
    </row>
    <row r="129" spans="1:4" x14ac:dyDescent="0.25">
      <c r="A129" t="s">
        <v>219</v>
      </c>
      <c r="B129" t="str">
        <f t="shared" si="2"/>
        <v>Venezuela, Bolivarian Republic Of.xlsx</v>
      </c>
      <c r="C129" t="s">
        <v>316</v>
      </c>
    </row>
    <row r="130" spans="1:4" x14ac:dyDescent="0.25">
      <c r="A130" t="s">
        <v>220</v>
      </c>
      <c r="B130" t="str">
        <f t="shared" si="2"/>
        <v>Viet Nam.xlsx</v>
      </c>
      <c r="C130" t="s">
        <v>317</v>
      </c>
    </row>
    <row r="131" spans="1:4" x14ac:dyDescent="0.25">
      <c r="A131" t="s">
        <v>247</v>
      </c>
      <c r="B131" t="str">
        <f t="shared" si="2"/>
        <v>Wallis And Futuna.xlsx</v>
      </c>
      <c r="C131" t="s">
        <v>318</v>
      </c>
    </row>
    <row r="132" spans="1:4" x14ac:dyDescent="0.25">
      <c r="A132" t="s">
        <v>221</v>
      </c>
      <c r="B132" t="str">
        <f t="shared" ref="B132:B134" si="3">_xlfn.CONCAT(A132,".xlsx")</f>
        <v>Yemen.xlsx</v>
      </c>
      <c r="C132" t="s">
        <v>319</v>
      </c>
    </row>
    <row r="133" spans="1:4" x14ac:dyDescent="0.25">
      <c r="A133" t="s">
        <v>222</v>
      </c>
      <c r="B133" t="str">
        <f t="shared" si="3"/>
        <v>Zambia.xlsx</v>
      </c>
      <c r="C133" t="s">
        <v>320</v>
      </c>
    </row>
    <row r="134" spans="1:4" x14ac:dyDescent="0.25">
      <c r="A134" t="s">
        <v>223</v>
      </c>
      <c r="B134" t="str">
        <f t="shared" si="3"/>
        <v>Zimbabwe.xlsx</v>
      </c>
      <c r="C134" t="s">
        <v>321</v>
      </c>
    </row>
    <row r="135" spans="1:4" x14ac:dyDescent="0.25">
      <c r="C135" t="s">
        <v>322</v>
      </c>
    </row>
    <row r="136" spans="1:4" x14ac:dyDescent="0.25">
      <c r="C136" t="s">
        <v>323</v>
      </c>
    </row>
    <row r="137" spans="1:4" x14ac:dyDescent="0.25">
      <c r="C137" t="s">
        <v>324</v>
      </c>
    </row>
    <row r="138" spans="1:4" x14ac:dyDescent="0.25">
      <c r="C138" t="s">
        <v>325</v>
      </c>
    </row>
    <row r="139" spans="1:4" x14ac:dyDescent="0.25">
      <c r="C139" t="s">
        <v>326</v>
      </c>
    </row>
    <row r="140" spans="1:4" x14ac:dyDescent="0.25">
      <c r="C140" t="s">
        <v>327</v>
      </c>
    </row>
    <row r="141" spans="1:4" x14ac:dyDescent="0.25">
      <c r="C141" t="s">
        <v>328</v>
      </c>
    </row>
    <row r="142" spans="1:4" x14ac:dyDescent="0.25">
      <c r="C142" t="s">
        <v>329</v>
      </c>
    </row>
    <row r="143" spans="1:4" x14ac:dyDescent="0.25">
      <c r="C143" t="s">
        <v>330</v>
      </c>
    </row>
    <row r="144" spans="1:4" x14ac:dyDescent="0.25">
      <c r="C144">
        <v>354</v>
      </c>
      <c r="D144" t="s">
        <v>331</v>
      </c>
    </row>
    <row r="145" spans="3:4" x14ac:dyDescent="0.25">
      <c r="C145" t="s">
        <v>332</v>
      </c>
    </row>
    <row r="146" spans="3:4" x14ac:dyDescent="0.25">
      <c r="C146" t="s">
        <v>333</v>
      </c>
    </row>
    <row r="147" spans="3:4" x14ac:dyDescent="0.25">
      <c r="C147" t="s">
        <v>334</v>
      </c>
      <c r="D147" t="s">
        <v>335</v>
      </c>
    </row>
    <row r="148" spans="3:4" x14ac:dyDescent="0.25">
      <c r="C148" t="s">
        <v>336</v>
      </c>
    </row>
    <row r="149" spans="3:4" x14ac:dyDescent="0.25">
      <c r="C149" t="s">
        <v>337</v>
      </c>
    </row>
    <row r="150" spans="3:4" x14ac:dyDescent="0.25">
      <c r="C150" t="s">
        <v>338</v>
      </c>
    </row>
  </sheetData>
  <sortState ref="A1:B90">
    <sortCondition ref="A1:A90"/>
  </sortState>
  <conditionalFormatting sqref="A96:A227">
    <cfRule type="expression" dxfId="5" priority="15">
      <formula>$E96 = "N"</formula>
    </cfRule>
  </conditionalFormatting>
  <conditionalFormatting sqref="C1:C2">
    <cfRule type="expression" dxfId="4" priority="12">
      <formula>$F1 = "N"</formula>
    </cfRule>
  </conditionalFormatting>
  <conditionalFormatting sqref="A93:A95">
    <cfRule type="expression" dxfId="3" priority="9">
      <formula>$E93 = "N"</formula>
    </cfRule>
  </conditionalFormatting>
  <conditionalFormatting sqref="A91:A92">
    <cfRule type="expression" dxfId="2" priority="5">
      <formula>$E91 = "N"</formula>
    </cfRule>
  </conditionalFormatting>
  <conditionalFormatting sqref="A9:A90">
    <cfRule type="expression" dxfId="1" priority="2">
      <formula>$E9 = "N"</formula>
    </cfRule>
  </conditionalFormatting>
  <conditionalFormatting sqref="A1:A8">
    <cfRule type="expression" dxfId="0" priority="1">
      <formula>$E1 = "N"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sibility xmlns="6a164dda-3779-4169-b957-e287451f6523">Internal</Visibilit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5ED2915BF93141A6FB288B2F9A6D76" ma:contentTypeVersion="7" ma:contentTypeDescription="Create a new document." ma:contentTypeScope="" ma:versionID="01de3d0c3ec4a751067e57bec73f677e">
  <xsd:schema xmlns:xsd="http://www.w3.org/2001/XMLSchema" xmlns:xs="http://www.w3.org/2001/XMLSchema" xmlns:p="http://schemas.microsoft.com/office/2006/metadata/properties" xmlns:ns2="6a164dda-3779-4169-b957-e287451f6523" xmlns:ns3="de981edf-9c7b-4bcf-82ef-7a8d31724e9c" xmlns:ns4="123e1968-7871-4d04-8926-18a9f9baa0f6" targetNamespace="http://schemas.microsoft.com/office/2006/metadata/properties" ma:root="true" ma:fieldsID="ca299398c0c1ab1e2530db26125a3153" ns2:_="" ns3:_="" ns4:_="">
    <xsd:import namespace="6a164dda-3779-4169-b957-e287451f6523"/>
    <xsd:import namespace="de981edf-9c7b-4bcf-82ef-7a8d31724e9c"/>
    <xsd:import namespace="123e1968-7871-4d04-8926-18a9f9baa0f6"/>
    <xsd:element name="properties">
      <xsd:complexType>
        <xsd:sequence>
          <xsd:element name="documentManagement">
            <xsd:complexType>
              <xsd:all>
                <xsd:element ref="ns2:Visibility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64dda-3779-4169-b957-e287451f6523" elementFormDefault="qualified">
    <xsd:import namespace="http://schemas.microsoft.com/office/2006/documentManagement/types"/>
    <xsd:import namespace="http://schemas.microsoft.com/office/infopath/2007/PartnerControls"/>
    <xsd:element name="Visibility" ma:index="2" nillable="true" ma:displayName="Visibility" ma:default="Internal" ma:description="Items that should be available externally should be marked &lt;strong&gt;External&lt;/strong&gt;" ma:format="RadioButtons" ma:internalName="Visibility">
      <xsd:simpleType>
        <xsd:restriction base="dms:Choice">
          <xsd:enumeration value="Internal"/>
          <xsd:enumeration value="Exter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981edf-9c7b-4bcf-82ef-7a8d31724e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3e1968-7871-4d04-8926-18a9f9baa0f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8207403b-203c-4ed3-95cd-88a852189123" ContentTypeId="0x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7A39EC-F0E2-4D02-98C7-36BC99F849B3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123e1968-7871-4d04-8926-18a9f9baa0f6"/>
    <ds:schemaRef ds:uri="de981edf-9c7b-4bcf-82ef-7a8d31724e9c"/>
    <ds:schemaRef ds:uri="http://schemas.microsoft.com/office/2006/metadata/properties"/>
    <ds:schemaRef ds:uri="http://purl.org/dc/terms/"/>
    <ds:schemaRef ds:uri="6a164dda-3779-4169-b957-e287451f6523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01A1A79-CD84-47D8-AD8E-425C33398D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164dda-3779-4169-b957-e287451f6523"/>
    <ds:schemaRef ds:uri="de981edf-9c7b-4bcf-82ef-7a8d31724e9c"/>
    <ds:schemaRef ds:uri="123e1968-7871-4d04-8926-18a9f9baa0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09653DF-6FDE-47C0-9EAB-8F529F11EFAA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81A5428-4C61-4DAC-B5A1-201094C797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country_level_stats</vt:lpstr>
      <vt:lpstr>Req_countries</vt:lpstr>
      <vt:lpstr>top_level_stats</vt:lpstr>
      <vt:lpstr>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Nolan</dc:creator>
  <cp:lastModifiedBy>Prakash Sarnobat</cp:lastModifiedBy>
  <cp:lastPrinted>2020-09-11T20:10:00Z</cp:lastPrinted>
  <dcterms:created xsi:type="dcterms:W3CDTF">2020-08-26T13:06:51Z</dcterms:created>
  <dcterms:modified xsi:type="dcterms:W3CDTF">2022-08-24T09:17:50Z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0x010100FB5ED2915BF93141A6FB288B2F9A6D76</vt:lpwstr>
  </property>
</Properties>
</file>